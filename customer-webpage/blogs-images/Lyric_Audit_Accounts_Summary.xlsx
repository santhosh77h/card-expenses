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xr:revisionPtr revIDLastSave="0" documentId="8_{BA0E5C94-99E8-4BF2-8FA6-18921F8BC36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sset Inventory" sheetId="1" r:id="rId1"/>
    <sheet name="Jagadish sir data" sheetId="4" r:id="rId2"/>
    <sheet name="Serial No " sheetId="3" r:id="rId3"/>
    <sheet name="Sheet2" sheetId="5" r:id="rId4"/>
    <sheet name="Sheet3" sheetId="6" r:id="rId5"/>
  </sheets>
  <definedNames>
    <definedName name="_xlnm._FilterDatabase" localSheetId="2" hidden="1">'Serial No '!$A$1:$G$302</definedName>
    <definedName name="_xlnm._FilterDatabase" localSheetId="1" hidden="1">'Jagadish sir data'!$A$1:$P$492</definedName>
    <definedName name="_xlnm._FilterDatabase" localSheetId="0" hidden="1">'Asset Inventory'!$A$1:$G$516</definedName>
  </definedNames>
  <calcPr calcId="191028"/>
  <pivotCaches>
    <pivotCache cacheId="312" r:id="rId6"/>
    <pivotCache cacheId="313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6" l="1"/>
  <c r="B18" i="6"/>
  <c r="O196" i="4"/>
  <c r="O199" i="4"/>
  <c r="O206" i="4"/>
  <c r="O211" i="4"/>
  <c r="O216" i="4"/>
  <c r="O221" i="4"/>
  <c r="O224" i="4"/>
  <c r="O252" i="4"/>
  <c r="O255" i="4"/>
  <c r="O258" i="4"/>
  <c r="O263" i="4"/>
  <c r="O273" i="4"/>
  <c r="O278" i="4"/>
  <c r="O286" i="4"/>
  <c r="O292" i="4"/>
  <c r="O294" i="4"/>
  <c r="O297" i="4"/>
  <c r="O300" i="4"/>
  <c r="O303" i="4"/>
  <c r="O358" i="4"/>
  <c r="O379" i="4"/>
  <c r="O388" i="4"/>
  <c r="O391" i="4"/>
  <c r="O399" i="4"/>
  <c r="O439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52" i="4"/>
  <c r="O57" i="4"/>
  <c r="O59" i="4"/>
  <c r="O88" i="4"/>
  <c r="O125" i="4"/>
  <c r="O134" i="4"/>
  <c r="O145" i="4"/>
  <c r="O152" i="4"/>
  <c r="O155" i="4"/>
  <c r="O159" i="4"/>
  <c r="O164" i="4"/>
  <c r="O167" i="4"/>
  <c r="O171" i="4"/>
  <c r="O173" i="4"/>
  <c r="O176" i="4"/>
  <c r="O180" i="4"/>
  <c r="O183" i="4"/>
  <c r="O3" i="4"/>
  <c r="O4" i="4"/>
  <c r="O5" i="4"/>
  <c r="O6" i="4"/>
  <c r="O7" i="4"/>
  <c r="O8" i="4"/>
  <c r="O14" i="4"/>
  <c r="O15" i="4"/>
  <c r="O19" i="4"/>
  <c r="O20" i="4"/>
  <c r="O21" i="4"/>
  <c r="O22" i="4"/>
  <c r="O23" i="4"/>
  <c r="O24" i="4"/>
  <c r="O29" i="4"/>
  <c r="O37" i="4"/>
  <c r="O2" i="4"/>
  <c r="M493" i="4"/>
  <c r="A442" i="4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N441" i="4"/>
  <c r="O441" i="4" s="1"/>
  <c r="N440" i="4"/>
  <c r="O440" i="4" s="1"/>
  <c r="G440" i="4"/>
  <c r="N438" i="4"/>
  <c r="O438" i="4" s="1"/>
  <c r="N437" i="4"/>
  <c r="O437" i="4" s="1"/>
  <c r="G437" i="4"/>
  <c r="N436" i="4"/>
  <c r="O436" i="4" s="1"/>
  <c r="G436" i="4"/>
  <c r="N435" i="4"/>
  <c r="O435" i="4" s="1"/>
  <c r="G435" i="4"/>
  <c r="N434" i="4"/>
  <c r="O434" i="4" s="1"/>
  <c r="G434" i="4"/>
  <c r="N433" i="4"/>
  <c r="O433" i="4" s="1"/>
  <c r="G433" i="4"/>
  <c r="N432" i="4"/>
  <c r="O432" i="4" s="1"/>
  <c r="G432" i="4"/>
  <c r="N431" i="4"/>
  <c r="O431" i="4" s="1"/>
  <c r="G431" i="4"/>
  <c r="N430" i="4"/>
  <c r="O430" i="4" s="1"/>
  <c r="G430" i="4"/>
  <c r="N429" i="4"/>
  <c r="O429" i="4" s="1"/>
  <c r="G429" i="4"/>
  <c r="N428" i="4"/>
  <c r="O428" i="4" s="1"/>
  <c r="G428" i="4"/>
  <c r="N427" i="4"/>
  <c r="O427" i="4" s="1"/>
  <c r="G427" i="4"/>
  <c r="N426" i="4"/>
  <c r="O426" i="4" s="1"/>
  <c r="G426" i="4"/>
  <c r="N425" i="4"/>
  <c r="O425" i="4" s="1"/>
  <c r="G425" i="4"/>
  <c r="N424" i="4"/>
  <c r="O424" i="4" s="1"/>
  <c r="G424" i="4"/>
  <c r="N423" i="4"/>
  <c r="O423" i="4" s="1"/>
  <c r="G423" i="4"/>
  <c r="N422" i="4"/>
  <c r="O422" i="4" s="1"/>
  <c r="N421" i="4"/>
  <c r="O421" i="4" s="1"/>
  <c r="N420" i="4"/>
  <c r="O420" i="4" s="1"/>
  <c r="G420" i="4"/>
  <c r="N419" i="4"/>
  <c r="O419" i="4" s="1"/>
  <c r="G419" i="4"/>
  <c r="N418" i="4"/>
  <c r="O418" i="4" s="1"/>
  <c r="G418" i="4"/>
  <c r="N417" i="4"/>
  <c r="O417" i="4" s="1"/>
  <c r="G417" i="4"/>
  <c r="N416" i="4"/>
  <c r="O416" i="4" s="1"/>
  <c r="G416" i="4"/>
  <c r="N415" i="4"/>
  <c r="O415" i="4" s="1"/>
  <c r="G415" i="4"/>
  <c r="N414" i="4"/>
  <c r="O414" i="4" s="1"/>
  <c r="G414" i="4"/>
  <c r="N413" i="4"/>
  <c r="O413" i="4" s="1"/>
  <c r="G413" i="4"/>
  <c r="N412" i="4"/>
  <c r="O412" i="4" s="1"/>
  <c r="G412" i="4"/>
  <c r="N411" i="4"/>
  <c r="O411" i="4" s="1"/>
  <c r="G411" i="4"/>
  <c r="N410" i="4"/>
  <c r="O410" i="4" s="1"/>
  <c r="G410" i="4"/>
  <c r="N409" i="4"/>
  <c r="O409" i="4" s="1"/>
  <c r="G409" i="4"/>
  <c r="N408" i="4"/>
  <c r="O408" i="4" s="1"/>
  <c r="G408" i="4"/>
  <c r="N407" i="4"/>
  <c r="O407" i="4" s="1"/>
  <c r="G407" i="4"/>
  <c r="N406" i="4"/>
  <c r="O406" i="4" s="1"/>
  <c r="N405" i="4"/>
  <c r="O405" i="4" s="1"/>
  <c r="N404" i="4"/>
  <c r="O404" i="4" s="1"/>
  <c r="N403" i="4"/>
  <c r="O403" i="4" s="1"/>
  <c r="N402" i="4"/>
  <c r="O402" i="4" s="1"/>
  <c r="N401" i="4"/>
  <c r="O401" i="4" s="1"/>
  <c r="N400" i="4"/>
  <c r="O400" i="4" s="1"/>
  <c r="N398" i="4"/>
  <c r="O398" i="4" s="1"/>
  <c r="N397" i="4"/>
  <c r="O397" i="4" s="1"/>
  <c r="N396" i="4"/>
  <c r="O396" i="4" s="1"/>
  <c r="N395" i="4"/>
  <c r="O395" i="4" s="1"/>
  <c r="N394" i="4"/>
  <c r="O394" i="4" s="1"/>
  <c r="N393" i="4"/>
  <c r="O393" i="4" s="1"/>
  <c r="N392" i="4"/>
  <c r="O392" i="4" s="1"/>
  <c r="N390" i="4"/>
  <c r="O390" i="4" s="1"/>
  <c r="N389" i="4"/>
  <c r="O389" i="4" s="1"/>
  <c r="N387" i="4"/>
  <c r="O387" i="4" s="1"/>
  <c r="N386" i="4"/>
  <c r="O386" i="4" s="1"/>
  <c r="N385" i="4"/>
  <c r="O385" i="4" s="1"/>
  <c r="N384" i="4"/>
  <c r="O384" i="4" s="1"/>
  <c r="G384" i="4"/>
  <c r="N383" i="4"/>
  <c r="O383" i="4" s="1"/>
  <c r="N382" i="4"/>
  <c r="O382" i="4" s="1"/>
  <c r="G382" i="4"/>
  <c r="N381" i="4"/>
  <c r="O381" i="4" s="1"/>
  <c r="G381" i="4"/>
  <c r="N380" i="4"/>
  <c r="O380" i="4" s="1"/>
  <c r="G380" i="4"/>
  <c r="G379" i="4"/>
  <c r="N378" i="4"/>
  <c r="O378" i="4" s="1"/>
  <c r="G378" i="4"/>
  <c r="N377" i="4"/>
  <c r="O377" i="4" s="1"/>
  <c r="G377" i="4"/>
  <c r="N376" i="4"/>
  <c r="O376" i="4" s="1"/>
  <c r="G376" i="4"/>
  <c r="N375" i="4"/>
  <c r="O375" i="4" s="1"/>
  <c r="N374" i="4"/>
  <c r="O374" i="4" s="1"/>
  <c r="N373" i="4"/>
  <c r="O373" i="4" s="1"/>
  <c r="G373" i="4"/>
  <c r="N372" i="4"/>
  <c r="O372" i="4" s="1"/>
  <c r="G372" i="4"/>
  <c r="N371" i="4"/>
  <c r="O371" i="4" s="1"/>
  <c r="G371" i="4"/>
  <c r="N370" i="4"/>
  <c r="O370" i="4" s="1"/>
  <c r="G370" i="4"/>
  <c r="N369" i="4"/>
  <c r="O369" i="4" s="1"/>
  <c r="G369" i="4"/>
  <c r="N368" i="4"/>
  <c r="O368" i="4" s="1"/>
  <c r="G368" i="4"/>
  <c r="N367" i="4"/>
  <c r="O367" i="4" s="1"/>
  <c r="G367" i="4"/>
  <c r="N366" i="4"/>
  <c r="O366" i="4" s="1"/>
  <c r="G366" i="4"/>
  <c r="N365" i="4"/>
  <c r="O365" i="4" s="1"/>
  <c r="N364" i="4"/>
  <c r="O364" i="4" s="1"/>
  <c r="N363" i="4"/>
  <c r="O363" i="4" s="1"/>
  <c r="G363" i="4"/>
  <c r="N362" i="4"/>
  <c r="O362" i="4" s="1"/>
  <c r="G362" i="4"/>
  <c r="N361" i="4"/>
  <c r="O361" i="4" s="1"/>
  <c r="N360" i="4"/>
  <c r="O360" i="4" s="1"/>
  <c r="N359" i="4"/>
  <c r="O359" i="4" s="1"/>
  <c r="N357" i="4"/>
  <c r="O357" i="4" s="1"/>
  <c r="N356" i="4"/>
  <c r="O356" i="4" s="1"/>
  <c r="N355" i="4"/>
  <c r="O355" i="4" s="1"/>
  <c r="N354" i="4"/>
  <c r="O354" i="4" s="1"/>
  <c r="N353" i="4"/>
  <c r="O353" i="4" s="1"/>
  <c r="N352" i="4"/>
  <c r="O352" i="4" s="1"/>
  <c r="N351" i="4"/>
  <c r="O351" i="4" s="1"/>
  <c r="N350" i="4"/>
  <c r="O350" i="4" s="1"/>
  <c r="N349" i="4"/>
  <c r="O349" i="4" s="1"/>
  <c r="N348" i="4"/>
  <c r="O348" i="4" s="1"/>
  <c r="G348" i="4"/>
  <c r="N347" i="4"/>
  <c r="O347" i="4" s="1"/>
  <c r="G347" i="4"/>
  <c r="N346" i="4"/>
  <c r="O346" i="4" s="1"/>
  <c r="G346" i="4"/>
  <c r="N345" i="4"/>
  <c r="O345" i="4" s="1"/>
  <c r="G345" i="4"/>
  <c r="N344" i="4"/>
  <c r="O344" i="4" s="1"/>
  <c r="G344" i="4"/>
  <c r="N343" i="4"/>
  <c r="O343" i="4" s="1"/>
  <c r="G343" i="4"/>
  <c r="N342" i="4"/>
  <c r="O342" i="4" s="1"/>
  <c r="G342" i="4"/>
  <c r="N341" i="4"/>
  <c r="O341" i="4" s="1"/>
  <c r="G341" i="4"/>
  <c r="N340" i="4"/>
  <c r="O340" i="4" s="1"/>
  <c r="G340" i="4"/>
  <c r="N339" i="4"/>
  <c r="O339" i="4" s="1"/>
  <c r="G339" i="4"/>
  <c r="N338" i="4"/>
  <c r="O338" i="4" s="1"/>
  <c r="G338" i="4"/>
  <c r="N337" i="4"/>
  <c r="O337" i="4" s="1"/>
  <c r="G337" i="4"/>
  <c r="N336" i="4"/>
  <c r="O336" i="4" s="1"/>
  <c r="G336" i="4"/>
  <c r="N335" i="4"/>
  <c r="O335" i="4" s="1"/>
  <c r="G335" i="4"/>
  <c r="N334" i="4"/>
  <c r="O334" i="4" s="1"/>
  <c r="G334" i="4"/>
  <c r="N333" i="4"/>
  <c r="O333" i="4" s="1"/>
  <c r="G333" i="4"/>
  <c r="N332" i="4"/>
  <c r="O332" i="4" s="1"/>
  <c r="G332" i="4"/>
  <c r="N331" i="4"/>
  <c r="O331" i="4" s="1"/>
  <c r="G331" i="4"/>
  <c r="N330" i="4"/>
  <c r="O330" i="4" s="1"/>
  <c r="G330" i="4"/>
  <c r="N329" i="4"/>
  <c r="O329" i="4" s="1"/>
  <c r="G329" i="4"/>
  <c r="N328" i="4"/>
  <c r="O328" i="4" s="1"/>
  <c r="G328" i="4"/>
  <c r="N327" i="4"/>
  <c r="O327" i="4" s="1"/>
  <c r="G327" i="4"/>
  <c r="N326" i="4"/>
  <c r="O326" i="4" s="1"/>
  <c r="G326" i="4"/>
  <c r="N325" i="4"/>
  <c r="O325" i="4" s="1"/>
  <c r="G325" i="4"/>
  <c r="N324" i="4"/>
  <c r="O324" i="4" s="1"/>
  <c r="G324" i="4"/>
  <c r="G323" i="4"/>
  <c r="N322" i="4"/>
  <c r="O322" i="4" s="1"/>
  <c r="G322" i="4"/>
  <c r="N321" i="4"/>
  <c r="O321" i="4" s="1"/>
  <c r="G321" i="4"/>
  <c r="N320" i="4"/>
  <c r="O320" i="4" s="1"/>
  <c r="G320" i="4"/>
  <c r="N319" i="4"/>
  <c r="O319" i="4" s="1"/>
  <c r="G319" i="4"/>
  <c r="N318" i="4"/>
  <c r="O318" i="4" s="1"/>
  <c r="G318" i="4"/>
  <c r="N317" i="4"/>
  <c r="O317" i="4" s="1"/>
  <c r="G317" i="4"/>
  <c r="N316" i="4"/>
  <c r="O316" i="4" s="1"/>
  <c r="G316" i="4"/>
  <c r="N315" i="4"/>
  <c r="O315" i="4" s="1"/>
  <c r="G315" i="4"/>
  <c r="N314" i="4"/>
  <c r="O314" i="4" s="1"/>
  <c r="G314" i="4"/>
  <c r="N313" i="4"/>
  <c r="O313" i="4" s="1"/>
  <c r="G313" i="4"/>
  <c r="N312" i="4"/>
  <c r="O312" i="4" s="1"/>
  <c r="G312" i="4"/>
  <c r="N311" i="4"/>
  <c r="O311" i="4" s="1"/>
  <c r="G311" i="4"/>
  <c r="N310" i="4"/>
  <c r="O310" i="4" s="1"/>
  <c r="G310" i="4"/>
  <c r="N309" i="4"/>
  <c r="O309" i="4" s="1"/>
  <c r="G309" i="4"/>
  <c r="N308" i="4"/>
  <c r="O308" i="4" s="1"/>
  <c r="G308" i="4"/>
  <c r="N307" i="4"/>
  <c r="O307" i="4" s="1"/>
  <c r="G307" i="4"/>
  <c r="N306" i="4"/>
  <c r="O306" i="4" s="1"/>
  <c r="G306" i="4"/>
  <c r="N305" i="4"/>
  <c r="O305" i="4" s="1"/>
  <c r="G305" i="4"/>
  <c r="N304" i="4"/>
  <c r="O304" i="4" s="1"/>
  <c r="G304" i="4"/>
  <c r="G303" i="4"/>
  <c r="N302" i="4"/>
  <c r="O302" i="4" s="1"/>
  <c r="G302" i="4"/>
  <c r="N301" i="4"/>
  <c r="O301" i="4" s="1"/>
  <c r="G301" i="4"/>
  <c r="G300" i="4"/>
  <c r="N299" i="4"/>
  <c r="O299" i="4" s="1"/>
  <c r="G299" i="4"/>
  <c r="N298" i="4"/>
  <c r="O298" i="4" s="1"/>
  <c r="G298" i="4"/>
  <c r="G297" i="4"/>
  <c r="N296" i="4"/>
  <c r="O296" i="4" s="1"/>
  <c r="G296" i="4"/>
  <c r="N295" i="4"/>
  <c r="O295" i="4" s="1"/>
  <c r="G295" i="4"/>
  <c r="G294" i="4"/>
  <c r="N293" i="4"/>
  <c r="O293" i="4" s="1"/>
  <c r="G293" i="4"/>
  <c r="G292" i="4"/>
  <c r="N291" i="4"/>
  <c r="O291" i="4" s="1"/>
  <c r="G291" i="4"/>
  <c r="N290" i="4"/>
  <c r="O290" i="4" s="1"/>
  <c r="G290" i="4"/>
  <c r="N289" i="4"/>
  <c r="O289" i="4" s="1"/>
  <c r="G289" i="4"/>
  <c r="G288" i="4"/>
  <c r="N287" i="4"/>
  <c r="O287" i="4" s="1"/>
  <c r="G287" i="4"/>
  <c r="G286" i="4"/>
  <c r="N285" i="4"/>
  <c r="O285" i="4" s="1"/>
  <c r="G285" i="4"/>
  <c r="N284" i="4"/>
  <c r="O284" i="4" s="1"/>
  <c r="G284" i="4"/>
  <c r="N283" i="4"/>
  <c r="O283" i="4" s="1"/>
  <c r="G283" i="4"/>
  <c r="N282" i="4"/>
  <c r="O282" i="4" s="1"/>
  <c r="G282" i="4"/>
  <c r="N281" i="4"/>
  <c r="O281" i="4" s="1"/>
  <c r="G281" i="4"/>
  <c r="N280" i="4"/>
  <c r="O280" i="4" s="1"/>
  <c r="G280" i="4"/>
  <c r="N279" i="4"/>
  <c r="O279" i="4" s="1"/>
  <c r="G278" i="4"/>
  <c r="N277" i="4"/>
  <c r="O277" i="4" s="1"/>
  <c r="G277" i="4"/>
  <c r="N276" i="4"/>
  <c r="O276" i="4" s="1"/>
  <c r="G276" i="4"/>
  <c r="N275" i="4"/>
  <c r="O275" i="4" s="1"/>
  <c r="G275" i="4"/>
  <c r="N274" i="4"/>
  <c r="O274" i="4" s="1"/>
  <c r="G274" i="4"/>
  <c r="G273" i="4"/>
  <c r="N272" i="4"/>
  <c r="O272" i="4" s="1"/>
  <c r="G272" i="4"/>
  <c r="N271" i="4"/>
  <c r="O271" i="4" s="1"/>
  <c r="G271" i="4"/>
  <c r="N270" i="4"/>
  <c r="O270" i="4" s="1"/>
  <c r="G270" i="4"/>
  <c r="N269" i="4"/>
  <c r="O269" i="4" s="1"/>
  <c r="G269" i="4"/>
  <c r="N268" i="4"/>
  <c r="O268" i="4" s="1"/>
  <c r="G268" i="4"/>
  <c r="G267" i="4"/>
  <c r="N266" i="4"/>
  <c r="O266" i="4" s="1"/>
  <c r="G266" i="4"/>
  <c r="N265" i="4"/>
  <c r="O265" i="4" s="1"/>
  <c r="G265" i="4"/>
  <c r="N264" i="4"/>
  <c r="O264" i="4" s="1"/>
  <c r="G264" i="4"/>
  <c r="G263" i="4"/>
  <c r="N262" i="4"/>
  <c r="O262" i="4" s="1"/>
  <c r="G262" i="4"/>
  <c r="N261" i="4"/>
  <c r="O261" i="4" s="1"/>
  <c r="G261" i="4"/>
  <c r="N260" i="4"/>
  <c r="O260" i="4" s="1"/>
  <c r="G260" i="4"/>
  <c r="N259" i="4"/>
  <c r="O259" i="4" s="1"/>
  <c r="G259" i="4"/>
  <c r="G258" i="4"/>
  <c r="N257" i="4"/>
  <c r="O257" i="4" s="1"/>
  <c r="G257" i="4"/>
  <c r="N256" i="4"/>
  <c r="O256" i="4" s="1"/>
  <c r="G255" i="4"/>
  <c r="N254" i="4"/>
  <c r="O254" i="4" s="1"/>
  <c r="G254" i="4"/>
  <c r="N253" i="4"/>
  <c r="O253" i="4" s="1"/>
  <c r="G253" i="4"/>
  <c r="G252" i="4"/>
  <c r="G251" i="4"/>
  <c r="G250" i="4"/>
  <c r="N249" i="4"/>
  <c r="O249" i="4" s="1"/>
  <c r="G249" i="4"/>
  <c r="G248" i="4"/>
  <c r="G247" i="4"/>
  <c r="N246" i="4"/>
  <c r="O246" i="4" s="1"/>
  <c r="G246" i="4"/>
  <c r="N245" i="4"/>
  <c r="O245" i="4" s="1"/>
  <c r="G245" i="4"/>
  <c r="N244" i="4"/>
  <c r="O244" i="4" s="1"/>
  <c r="G244" i="4"/>
  <c r="G243" i="4"/>
  <c r="G242" i="4"/>
  <c r="N241" i="4"/>
  <c r="O241" i="4" s="1"/>
  <c r="G241" i="4"/>
  <c r="G240" i="4"/>
  <c r="G239" i="4"/>
  <c r="N238" i="4"/>
  <c r="O238" i="4" s="1"/>
  <c r="G238" i="4"/>
  <c r="N237" i="4"/>
  <c r="O237" i="4" s="1"/>
  <c r="G237" i="4"/>
  <c r="N236" i="4"/>
  <c r="O236" i="4" s="1"/>
  <c r="G236" i="4"/>
  <c r="N235" i="4"/>
  <c r="O235" i="4" s="1"/>
  <c r="G235" i="4"/>
  <c r="N233" i="4"/>
  <c r="O233" i="4" s="1"/>
  <c r="N231" i="4"/>
  <c r="O231" i="4" s="1"/>
  <c r="N229" i="4"/>
  <c r="O229" i="4" s="1"/>
  <c r="N228" i="4"/>
  <c r="O228" i="4" s="1"/>
  <c r="N227" i="4"/>
  <c r="O227" i="4" s="1"/>
  <c r="N226" i="4"/>
  <c r="O226" i="4" s="1"/>
  <c r="N225" i="4"/>
  <c r="O225" i="4" s="1"/>
  <c r="N223" i="4"/>
  <c r="O223" i="4" s="1"/>
  <c r="N222" i="4"/>
  <c r="O222" i="4" s="1"/>
  <c r="G221" i="4"/>
  <c r="N220" i="4"/>
  <c r="O220" i="4" s="1"/>
  <c r="G220" i="4"/>
  <c r="N219" i="4"/>
  <c r="O219" i="4" s="1"/>
  <c r="G219" i="4"/>
  <c r="N218" i="4"/>
  <c r="O218" i="4" s="1"/>
  <c r="G218" i="4"/>
  <c r="N217" i="4"/>
  <c r="O217" i="4" s="1"/>
  <c r="G217" i="4"/>
  <c r="N215" i="4"/>
  <c r="O215" i="4" s="1"/>
  <c r="N214" i="4"/>
  <c r="O214" i="4" s="1"/>
  <c r="N213" i="4"/>
  <c r="O213" i="4" s="1"/>
  <c r="N212" i="4"/>
  <c r="O212" i="4" s="1"/>
  <c r="N210" i="4"/>
  <c r="O210" i="4" s="1"/>
  <c r="N209" i="4"/>
  <c r="O209" i="4" s="1"/>
  <c r="N208" i="4"/>
  <c r="O208" i="4" s="1"/>
  <c r="N207" i="4"/>
  <c r="O207" i="4" s="1"/>
  <c r="N205" i="4"/>
  <c r="O205" i="4" s="1"/>
  <c r="N204" i="4"/>
  <c r="O204" i="4" s="1"/>
  <c r="N203" i="4"/>
  <c r="O203" i="4" s="1"/>
  <c r="N202" i="4"/>
  <c r="O202" i="4" s="1"/>
  <c r="N201" i="4"/>
  <c r="O201" i="4" s="1"/>
  <c r="N200" i="4"/>
  <c r="O200" i="4" s="1"/>
  <c r="G199" i="4"/>
  <c r="N198" i="4"/>
  <c r="O198" i="4" s="1"/>
  <c r="G198" i="4"/>
  <c r="N197" i="4"/>
  <c r="O197" i="4" s="1"/>
  <c r="G197" i="4"/>
  <c r="G196" i="4"/>
  <c r="N195" i="4"/>
  <c r="O195" i="4" s="1"/>
  <c r="G195" i="4"/>
  <c r="N194" i="4"/>
  <c r="O194" i="4" s="1"/>
  <c r="G194" i="4"/>
  <c r="N193" i="4"/>
  <c r="O193" i="4" s="1"/>
  <c r="G193" i="4"/>
  <c r="N192" i="4"/>
  <c r="O192" i="4" s="1"/>
  <c r="G192" i="4"/>
  <c r="N191" i="4"/>
  <c r="O191" i="4" s="1"/>
  <c r="G191" i="4"/>
  <c r="N190" i="4"/>
  <c r="O190" i="4" s="1"/>
  <c r="G190" i="4"/>
  <c r="N189" i="4"/>
  <c r="O189" i="4" s="1"/>
  <c r="G189" i="4"/>
  <c r="N188" i="4"/>
  <c r="O188" i="4" s="1"/>
  <c r="G188" i="4"/>
  <c r="N187" i="4"/>
  <c r="O187" i="4" s="1"/>
  <c r="G187" i="4"/>
  <c r="N186" i="4"/>
  <c r="O186" i="4" s="1"/>
  <c r="G186" i="4"/>
  <c r="N185" i="4"/>
  <c r="O185" i="4" s="1"/>
  <c r="G185" i="4"/>
  <c r="N184" i="4"/>
  <c r="O184" i="4" s="1"/>
  <c r="G184" i="4"/>
  <c r="G183" i="4"/>
  <c r="N182" i="4"/>
  <c r="O182" i="4" s="1"/>
  <c r="G182" i="4"/>
  <c r="N181" i="4"/>
  <c r="O181" i="4" s="1"/>
  <c r="G181" i="4"/>
  <c r="G180" i="4"/>
  <c r="N179" i="4"/>
  <c r="O179" i="4" s="1"/>
  <c r="G179" i="4"/>
  <c r="N178" i="4"/>
  <c r="O178" i="4" s="1"/>
  <c r="N177" i="4"/>
  <c r="O177" i="4" s="1"/>
  <c r="G177" i="4"/>
  <c r="G176" i="4"/>
  <c r="N175" i="4"/>
  <c r="O175" i="4" s="1"/>
  <c r="G175" i="4"/>
  <c r="N174" i="4"/>
  <c r="O174" i="4" s="1"/>
  <c r="G174" i="4"/>
  <c r="G173" i="4"/>
  <c r="N172" i="4"/>
  <c r="O172" i="4" s="1"/>
  <c r="G172" i="4"/>
  <c r="G171" i="4"/>
  <c r="N170" i="4"/>
  <c r="O170" i="4" s="1"/>
  <c r="G170" i="4"/>
  <c r="N169" i="4"/>
  <c r="O169" i="4" s="1"/>
  <c r="G169" i="4"/>
  <c r="N168" i="4"/>
  <c r="O168" i="4" s="1"/>
  <c r="G168" i="4"/>
  <c r="G167" i="4"/>
  <c r="N166" i="4"/>
  <c r="O166" i="4" s="1"/>
  <c r="G166" i="4"/>
  <c r="N165" i="4"/>
  <c r="O165" i="4" s="1"/>
  <c r="G165" i="4"/>
  <c r="G164" i="4"/>
  <c r="N163" i="4"/>
  <c r="O163" i="4" s="1"/>
  <c r="G163" i="4"/>
  <c r="N162" i="4"/>
  <c r="O162" i="4" s="1"/>
  <c r="G162" i="4"/>
  <c r="N161" i="4"/>
  <c r="O161" i="4" s="1"/>
  <c r="G161" i="4"/>
  <c r="N160" i="4"/>
  <c r="O160" i="4" s="1"/>
  <c r="G160" i="4"/>
  <c r="G159" i="4"/>
  <c r="N158" i="4"/>
  <c r="O158" i="4" s="1"/>
  <c r="G158" i="4"/>
  <c r="N157" i="4"/>
  <c r="O157" i="4" s="1"/>
  <c r="G157" i="4"/>
  <c r="N156" i="4"/>
  <c r="O156" i="4" s="1"/>
  <c r="G156" i="4"/>
  <c r="N154" i="4"/>
  <c r="O154" i="4" s="1"/>
  <c r="N153" i="4"/>
  <c r="O153" i="4" s="1"/>
  <c r="G152" i="4"/>
  <c r="N151" i="4"/>
  <c r="O151" i="4" s="1"/>
  <c r="G151" i="4"/>
  <c r="N150" i="4"/>
  <c r="O150" i="4" s="1"/>
  <c r="G150" i="4"/>
  <c r="N149" i="4"/>
  <c r="O149" i="4" s="1"/>
  <c r="G149" i="4"/>
  <c r="N148" i="4"/>
  <c r="O148" i="4" s="1"/>
  <c r="G148" i="4"/>
  <c r="N147" i="4"/>
  <c r="O147" i="4" s="1"/>
  <c r="N146" i="4"/>
  <c r="O146" i="4" s="1"/>
  <c r="G145" i="4"/>
  <c r="N144" i="4"/>
  <c r="O144" i="4" s="1"/>
  <c r="G144" i="4"/>
  <c r="N143" i="4"/>
  <c r="O143" i="4" s="1"/>
  <c r="G143" i="4"/>
  <c r="N142" i="4"/>
  <c r="O142" i="4" s="1"/>
  <c r="G142" i="4"/>
  <c r="N141" i="4"/>
  <c r="O141" i="4" s="1"/>
  <c r="G141" i="4"/>
  <c r="N140" i="4"/>
  <c r="O140" i="4" s="1"/>
  <c r="G140" i="4"/>
  <c r="N139" i="4"/>
  <c r="O139" i="4" s="1"/>
  <c r="G139" i="4"/>
  <c r="N138" i="4"/>
  <c r="O138" i="4" s="1"/>
  <c r="G138" i="4"/>
  <c r="N137" i="4"/>
  <c r="O137" i="4" s="1"/>
  <c r="G137" i="4"/>
  <c r="N136" i="4"/>
  <c r="O136" i="4" s="1"/>
  <c r="G136" i="4"/>
  <c r="N135" i="4"/>
  <c r="O135" i="4" s="1"/>
  <c r="G135" i="4"/>
  <c r="G134" i="4"/>
  <c r="N133" i="4"/>
  <c r="O133" i="4" s="1"/>
  <c r="G133" i="4"/>
  <c r="N132" i="4"/>
  <c r="O132" i="4" s="1"/>
  <c r="G132" i="4"/>
  <c r="N131" i="4"/>
  <c r="O131" i="4" s="1"/>
  <c r="G131" i="4"/>
  <c r="N130" i="4"/>
  <c r="O130" i="4" s="1"/>
  <c r="G130" i="4"/>
  <c r="N129" i="4"/>
  <c r="O129" i="4" s="1"/>
  <c r="G129" i="4"/>
  <c r="N128" i="4"/>
  <c r="O128" i="4" s="1"/>
  <c r="G128" i="4"/>
  <c r="N127" i="4"/>
  <c r="O127" i="4" s="1"/>
  <c r="G127" i="4"/>
  <c r="N126" i="4"/>
  <c r="O126" i="4" s="1"/>
  <c r="G126" i="4"/>
  <c r="G125" i="4"/>
  <c r="N124" i="4"/>
  <c r="O124" i="4" s="1"/>
  <c r="G124" i="4"/>
  <c r="N123" i="4"/>
  <c r="O123" i="4" s="1"/>
  <c r="G123" i="4"/>
  <c r="N122" i="4"/>
  <c r="O122" i="4" s="1"/>
  <c r="G122" i="4"/>
  <c r="N121" i="4"/>
  <c r="O121" i="4" s="1"/>
  <c r="G121" i="4"/>
  <c r="N120" i="4"/>
  <c r="O120" i="4" s="1"/>
  <c r="G120" i="4"/>
  <c r="N119" i="4"/>
  <c r="O119" i="4" s="1"/>
  <c r="G119" i="4"/>
  <c r="N118" i="4"/>
  <c r="O118" i="4" s="1"/>
  <c r="G118" i="4"/>
  <c r="N117" i="4"/>
  <c r="O117" i="4" s="1"/>
  <c r="G117" i="4"/>
  <c r="N116" i="4"/>
  <c r="O116" i="4" s="1"/>
  <c r="G116" i="4"/>
  <c r="N115" i="4"/>
  <c r="O115" i="4" s="1"/>
  <c r="G115" i="4"/>
  <c r="N114" i="4"/>
  <c r="O114" i="4" s="1"/>
  <c r="G114" i="4"/>
  <c r="N113" i="4"/>
  <c r="O113" i="4" s="1"/>
  <c r="G113" i="4"/>
  <c r="N112" i="4"/>
  <c r="O112" i="4" s="1"/>
  <c r="G112" i="4"/>
  <c r="N111" i="4"/>
  <c r="O111" i="4" s="1"/>
  <c r="G111" i="4"/>
  <c r="N110" i="4"/>
  <c r="O110" i="4" s="1"/>
  <c r="N109" i="4"/>
  <c r="O109" i="4" s="1"/>
  <c r="N108" i="4"/>
  <c r="O108" i="4" s="1"/>
  <c r="G108" i="4"/>
  <c r="N107" i="4"/>
  <c r="O107" i="4" s="1"/>
  <c r="G107" i="4"/>
  <c r="N106" i="4"/>
  <c r="O106" i="4" s="1"/>
  <c r="G106" i="4"/>
  <c r="N105" i="4"/>
  <c r="O105" i="4" s="1"/>
  <c r="G105" i="4"/>
  <c r="N104" i="4"/>
  <c r="O104" i="4" s="1"/>
  <c r="G104" i="4"/>
  <c r="N103" i="4"/>
  <c r="O103" i="4" s="1"/>
  <c r="G103" i="4"/>
  <c r="N102" i="4"/>
  <c r="O102" i="4" s="1"/>
  <c r="G102" i="4"/>
  <c r="N101" i="4"/>
  <c r="O101" i="4" s="1"/>
  <c r="N100" i="4"/>
  <c r="O100" i="4" s="1"/>
  <c r="N99" i="4"/>
  <c r="O99" i="4" s="1"/>
  <c r="G99" i="4"/>
  <c r="N98" i="4"/>
  <c r="O98" i="4" s="1"/>
  <c r="G98" i="4"/>
  <c r="N97" i="4"/>
  <c r="O97" i="4" s="1"/>
  <c r="G97" i="4"/>
  <c r="N96" i="4"/>
  <c r="O96" i="4" s="1"/>
  <c r="G96" i="4"/>
  <c r="N95" i="4"/>
  <c r="O95" i="4" s="1"/>
  <c r="G95" i="4"/>
  <c r="N94" i="4"/>
  <c r="O94" i="4" s="1"/>
  <c r="G94" i="4"/>
  <c r="N93" i="4"/>
  <c r="O93" i="4" s="1"/>
  <c r="G93" i="4"/>
  <c r="N92" i="4"/>
  <c r="O92" i="4" s="1"/>
  <c r="G92" i="4"/>
  <c r="N91" i="4"/>
  <c r="O91" i="4" s="1"/>
  <c r="G91" i="4"/>
  <c r="N90" i="4"/>
  <c r="O90" i="4" s="1"/>
  <c r="G90" i="4"/>
  <c r="N89" i="4"/>
  <c r="O89" i="4" s="1"/>
  <c r="G89" i="4"/>
  <c r="G88" i="4"/>
  <c r="N87" i="4"/>
  <c r="O87" i="4" s="1"/>
  <c r="G87" i="4"/>
  <c r="N86" i="4"/>
  <c r="O86" i="4" s="1"/>
  <c r="G86" i="4"/>
  <c r="N85" i="4"/>
  <c r="O85" i="4" s="1"/>
  <c r="G85" i="4"/>
  <c r="N84" i="4"/>
  <c r="O84" i="4" s="1"/>
  <c r="N83" i="4"/>
  <c r="O83" i="4" s="1"/>
  <c r="N82" i="4"/>
  <c r="O82" i="4" s="1"/>
  <c r="N81" i="4"/>
  <c r="O81" i="4" s="1"/>
  <c r="G81" i="4"/>
  <c r="N80" i="4"/>
  <c r="O80" i="4" s="1"/>
  <c r="G80" i="4"/>
  <c r="N79" i="4"/>
  <c r="O79" i="4" s="1"/>
  <c r="G79" i="4"/>
  <c r="N78" i="4"/>
  <c r="O78" i="4" s="1"/>
  <c r="G78" i="4"/>
  <c r="N77" i="4"/>
  <c r="O77" i="4" s="1"/>
  <c r="G77" i="4"/>
  <c r="N76" i="4"/>
  <c r="O76" i="4" s="1"/>
  <c r="G76" i="4"/>
  <c r="N75" i="4"/>
  <c r="O75" i="4" s="1"/>
  <c r="N74" i="4"/>
  <c r="O74" i="4" s="1"/>
  <c r="N73" i="4"/>
  <c r="O73" i="4" s="1"/>
  <c r="G73" i="4"/>
  <c r="N72" i="4"/>
  <c r="O72" i="4" s="1"/>
  <c r="G72" i="4"/>
  <c r="N71" i="4"/>
  <c r="O71" i="4" s="1"/>
  <c r="G71" i="4"/>
  <c r="N70" i="4"/>
  <c r="O70" i="4" s="1"/>
  <c r="G70" i="4"/>
  <c r="N69" i="4"/>
  <c r="O69" i="4" s="1"/>
  <c r="G69" i="4"/>
  <c r="N68" i="4"/>
  <c r="O68" i="4" s="1"/>
  <c r="N67" i="4"/>
  <c r="O67" i="4" s="1"/>
  <c r="N66" i="4"/>
  <c r="O66" i="4" s="1"/>
  <c r="G66" i="4"/>
  <c r="N65" i="4"/>
  <c r="O65" i="4" s="1"/>
  <c r="G65" i="4"/>
  <c r="N64" i="4"/>
  <c r="O64" i="4" s="1"/>
  <c r="G64" i="4"/>
  <c r="N63" i="4"/>
  <c r="O63" i="4" s="1"/>
  <c r="G63" i="4"/>
  <c r="N62" i="4"/>
  <c r="O62" i="4" s="1"/>
  <c r="N61" i="4"/>
  <c r="O61" i="4" s="1"/>
  <c r="N60" i="4"/>
  <c r="O60" i="4" s="1"/>
  <c r="G60" i="4"/>
  <c r="G59" i="4"/>
  <c r="N58" i="4"/>
  <c r="O58" i="4" s="1"/>
  <c r="G58" i="4"/>
  <c r="G57" i="4"/>
  <c r="N56" i="4"/>
  <c r="O56" i="4" s="1"/>
  <c r="G56" i="4"/>
  <c r="N55" i="4"/>
  <c r="O55" i="4" s="1"/>
  <c r="G55" i="4"/>
  <c r="N54" i="4"/>
  <c r="O54" i="4" s="1"/>
  <c r="G54" i="4"/>
  <c r="N53" i="4"/>
  <c r="O53" i="4" s="1"/>
  <c r="G53" i="4"/>
  <c r="G52" i="4"/>
  <c r="N51" i="4"/>
  <c r="O51" i="4" s="1"/>
  <c r="G51" i="4"/>
  <c r="N50" i="4"/>
  <c r="O50" i="4" s="1"/>
  <c r="G50" i="4"/>
  <c r="N49" i="4"/>
  <c r="O49" i="4" s="1"/>
  <c r="N48" i="4"/>
  <c r="O48" i="4" s="1"/>
  <c r="N47" i="4"/>
  <c r="O47" i="4" s="1"/>
  <c r="N46" i="4"/>
  <c r="O46" i="4" s="1"/>
  <c r="G46" i="4"/>
  <c r="N45" i="4"/>
  <c r="O45" i="4" s="1"/>
  <c r="G45" i="4"/>
  <c r="N44" i="4"/>
  <c r="O44" i="4" s="1"/>
  <c r="N43" i="4"/>
  <c r="O43" i="4" s="1"/>
  <c r="N42" i="4"/>
  <c r="O42" i="4" s="1"/>
  <c r="G42" i="4"/>
  <c r="N41" i="4"/>
  <c r="O41" i="4" s="1"/>
  <c r="G41" i="4"/>
  <c r="G40" i="4"/>
  <c r="N39" i="4"/>
  <c r="O39" i="4" s="1"/>
  <c r="G39" i="4"/>
  <c r="N38" i="4"/>
  <c r="O38" i="4" s="1"/>
  <c r="G38" i="4"/>
  <c r="G37" i="4"/>
  <c r="N36" i="4"/>
  <c r="O36" i="4" s="1"/>
  <c r="G36" i="4"/>
  <c r="N35" i="4"/>
  <c r="O35" i="4" s="1"/>
  <c r="G35" i="4"/>
  <c r="N34" i="4"/>
  <c r="O34" i="4" s="1"/>
  <c r="G34" i="4"/>
  <c r="N33" i="4"/>
  <c r="O33" i="4" s="1"/>
  <c r="G33" i="4"/>
  <c r="N32" i="4"/>
  <c r="O32" i="4" s="1"/>
  <c r="N31" i="4"/>
  <c r="O31" i="4" s="1"/>
  <c r="N30" i="4"/>
  <c r="O30" i="4" s="1"/>
  <c r="N28" i="4"/>
  <c r="O28" i="4" s="1"/>
  <c r="N27" i="4"/>
  <c r="O27" i="4" s="1"/>
  <c r="G27" i="4"/>
  <c r="N26" i="4"/>
  <c r="O26" i="4" s="1"/>
  <c r="G26" i="4"/>
  <c r="N25" i="4"/>
  <c r="O25" i="4" s="1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O493" i="4" l="1"/>
</calcChain>
</file>

<file path=xl/sharedStrings.xml><?xml version="1.0" encoding="utf-8"?>
<sst xmlns="http://schemas.openxmlformats.org/spreadsheetml/2006/main" count="6883" uniqueCount="1681">
  <si>
    <t>#</t>
  </si>
  <si>
    <t>User Name</t>
  </si>
  <si>
    <t>Employee ID</t>
  </si>
  <si>
    <t>Email</t>
  </si>
  <si>
    <t>Asset Type</t>
  </si>
  <si>
    <t>Serial Number</t>
  </si>
  <si>
    <t>Notes</t>
  </si>
  <si>
    <t>Bharat Upadrasta</t>
  </si>
  <si>
    <t>CB-131</t>
  </si>
  <si>
    <t>bharat@lyric.tech</t>
  </si>
  <si>
    <t>Bag</t>
  </si>
  <si>
    <t>-</t>
  </si>
  <si>
    <t>GAURAV ASATI</t>
  </si>
  <si>
    <t>CB-66</t>
  </si>
  <si>
    <t>gaurav@lyric.tech</t>
  </si>
  <si>
    <t>Desktop</t>
  </si>
  <si>
    <t>CY37H4ZT600126X(Need to check whether this serial number belongs to a monitor or a desktop)</t>
  </si>
  <si>
    <t>Porkumaran Gopal</t>
  </si>
  <si>
    <t>porkumaran@lyric.tech</t>
  </si>
  <si>
    <t>A69E897D-7CAA-4AB9-A9F0-8FDD83566A3D ( Need to check whether this serial number belongs to a monitor or a desktop)</t>
  </si>
  <si>
    <t>HP</t>
  </si>
  <si>
    <t>SUJITHA VENKATESHWARAN</t>
  </si>
  <si>
    <t>CB-164</t>
  </si>
  <si>
    <t>sujitha@lyric.tech</t>
  </si>
  <si>
    <t>R-41074926</t>
  </si>
  <si>
    <t>Windows</t>
  </si>
  <si>
    <t>Aditya Jaroli</t>
  </si>
  <si>
    <t>aditya.j@lyric.tech</t>
  </si>
  <si>
    <t>Dock Station</t>
  </si>
  <si>
    <t>Aakash Kaushik</t>
  </si>
  <si>
    <t>CB-114</t>
  </si>
  <si>
    <t>aakash@lyric.tech</t>
  </si>
  <si>
    <t>Keyboard</t>
  </si>
  <si>
    <t>Abdul Vahith Z</t>
  </si>
  <si>
    <t>CB-22</t>
  </si>
  <si>
    <t>abdul@lyric.tech</t>
  </si>
  <si>
    <t>Abhishek Nahar</t>
  </si>
  <si>
    <t>CB-133</t>
  </si>
  <si>
    <t>abhishek@lyric.tech</t>
  </si>
  <si>
    <t>Akhoury Shauryam</t>
  </si>
  <si>
    <t>CB-91</t>
  </si>
  <si>
    <t>akhoury@lyric.tech</t>
  </si>
  <si>
    <t>Akshaya Uthamaputhiran</t>
  </si>
  <si>
    <t>CB_168</t>
  </si>
  <si>
    <t>akshaya@lyric.tech</t>
  </si>
  <si>
    <t>Aman Agarwal</t>
  </si>
  <si>
    <t>CB-90</t>
  </si>
  <si>
    <t>aman@lyric.tech</t>
  </si>
  <si>
    <t>Amish Ashish Saxena</t>
  </si>
  <si>
    <t>CB-157</t>
  </si>
  <si>
    <t>amish@lyric.tech</t>
  </si>
  <si>
    <t>Amit Singh</t>
  </si>
  <si>
    <t>CB-82</t>
  </si>
  <si>
    <t>amit@lyric.tech</t>
  </si>
  <si>
    <t>Aniruddh Gopale</t>
  </si>
  <si>
    <t>CB-176</t>
  </si>
  <si>
    <t>aniruddh@lyric.tech</t>
  </si>
  <si>
    <t>Anjanay Saxena</t>
  </si>
  <si>
    <t>CB-134</t>
  </si>
  <si>
    <t>anjanay@lyric.tech</t>
  </si>
  <si>
    <t>Ankit Gupta</t>
  </si>
  <si>
    <t>CB-45</t>
  </si>
  <si>
    <t>ankit@lyric.tech</t>
  </si>
  <si>
    <t>Anurag Agrawal</t>
  </si>
  <si>
    <t>CB-138</t>
  </si>
  <si>
    <t>anurag@lyric.tech</t>
  </si>
  <si>
    <t>Aritra Majumder</t>
  </si>
  <si>
    <t>CB-137</t>
  </si>
  <si>
    <t>aritra@lyric.tech</t>
  </si>
  <si>
    <t>Ashish Siyag</t>
  </si>
  <si>
    <t>CB-55</t>
  </si>
  <si>
    <t>ashish@lyric.tech</t>
  </si>
  <si>
    <t>Athira T</t>
  </si>
  <si>
    <t>CB-84</t>
  </si>
  <si>
    <t>athira@lyric.tech</t>
  </si>
  <si>
    <t>Aviral Singh</t>
  </si>
  <si>
    <t>aviral@lyric.tech</t>
  </si>
  <si>
    <t>Ayonee Sengupta</t>
  </si>
  <si>
    <t>CB-147</t>
  </si>
  <si>
    <t>ayonee@lyric.tech</t>
  </si>
  <si>
    <t>Balram Rathore</t>
  </si>
  <si>
    <t>CB-61</t>
  </si>
  <si>
    <t>balram@lyric.tech</t>
  </si>
  <si>
    <t>Bhaarath Vijay Ramesh</t>
  </si>
  <si>
    <t>CB-3</t>
  </si>
  <si>
    <t>bhaarath@lyric.tech</t>
  </si>
  <si>
    <t>Chaitanya Kulkarni</t>
  </si>
  <si>
    <t>CB-71</t>
  </si>
  <si>
    <t>chaitanya@lyric.tech</t>
  </si>
  <si>
    <t>Dhammapal Avhad</t>
  </si>
  <si>
    <t>CB-167</t>
  </si>
  <si>
    <t>dhammapal@lyric.tech</t>
  </si>
  <si>
    <t>Dhawal</t>
  </si>
  <si>
    <t>CB-188</t>
  </si>
  <si>
    <t>dhawal@lyric.tech</t>
  </si>
  <si>
    <t>Divyansh Dubey</t>
  </si>
  <si>
    <t>C-161</t>
  </si>
  <si>
    <t>divyansh@lyric.tech</t>
  </si>
  <si>
    <t>Ganesh Prasad B G</t>
  </si>
  <si>
    <t>CB-193</t>
  </si>
  <si>
    <t>ganesh.prasad@lyric.tech</t>
  </si>
  <si>
    <t>Gayathri Sivaprakasam</t>
  </si>
  <si>
    <t>CB-79</t>
  </si>
  <si>
    <t>gayathri@lyric.tech</t>
  </si>
  <si>
    <t>Himanshu Saraswat</t>
  </si>
  <si>
    <t>CB-53</t>
  </si>
  <si>
    <t>himanshu@lyric.tech</t>
  </si>
  <si>
    <t>Isha Chopra</t>
  </si>
  <si>
    <t>CB-87</t>
  </si>
  <si>
    <t>isha@lyric.tech</t>
  </si>
  <si>
    <t>Jaeyanth JKV</t>
  </si>
  <si>
    <t>CB-96</t>
  </si>
  <si>
    <t>jaeyanth@lyric.tech</t>
  </si>
  <si>
    <t>Jatin Panjwani</t>
  </si>
  <si>
    <t>CB-149</t>
  </si>
  <si>
    <t>jatin@lyric.tech</t>
  </si>
  <si>
    <t>Jitendra Kumar Singh</t>
  </si>
  <si>
    <t>CB-88</t>
  </si>
  <si>
    <t>jitendra@lyric.tech</t>
  </si>
  <si>
    <t>Jyotiranjan Sahoo</t>
  </si>
  <si>
    <t>CB-116</t>
  </si>
  <si>
    <t>jyotiranjan@lyric.tech</t>
  </si>
  <si>
    <t>Kanupriya Sharma</t>
  </si>
  <si>
    <t>CB-72</t>
  </si>
  <si>
    <t>kanupriya@lyric.tech</t>
  </si>
  <si>
    <t>Karthik Muthukrishnan</t>
  </si>
  <si>
    <t>karthik@lyric.tech</t>
  </si>
  <si>
    <t>Karthik Sharma</t>
  </si>
  <si>
    <t>CB-181</t>
  </si>
  <si>
    <t>karthik.sharma@lyric.tech</t>
  </si>
  <si>
    <t>F0THHN08FUA0000GRF</t>
  </si>
  <si>
    <t>Kartik Chaudhary</t>
  </si>
  <si>
    <t>CB-135</t>
  </si>
  <si>
    <t>kartik@lyric.tech</t>
  </si>
  <si>
    <t>Kishore Adiraju</t>
  </si>
  <si>
    <t>CB-182</t>
  </si>
  <si>
    <t>kishore@lyric.tech</t>
  </si>
  <si>
    <t>Kislay Kumar</t>
  </si>
  <si>
    <t>kislay@lyric.tech</t>
  </si>
  <si>
    <t>Krishnat Tanaji Disale</t>
  </si>
  <si>
    <t>CB-83</t>
  </si>
  <si>
    <t>krishnat@lyric.tech</t>
  </si>
  <si>
    <t>Kuldeep N J</t>
  </si>
  <si>
    <t>CB-153</t>
  </si>
  <si>
    <t>kuldeep@lyric.tech</t>
  </si>
  <si>
    <t>Lokesh Singh Mahar</t>
  </si>
  <si>
    <t>CB-47</t>
  </si>
  <si>
    <t>lokesh@lyric.tech</t>
  </si>
  <si>
    <t>F0T4087RQHA13CVBR</t>
  </si>
  <si>
    <t>Lokeshwaran</t>
  </si>
  <si>
    <t>CB-174</t>
  </si>
  <si>
    <t>lokeshwaran@lyric.tech</t>
  </si>
  <si>
    <t>Madhukar M Mallia</t>
  </si>
  <si>
    <t>CB-49</t>
  </si>
  <si>
    <t>madhukar@lyric.tech</t>
  </si>
  <si>
    <t>F0T4084RGKG13CV</t>
  </si>
  <si>
    <t>Mallikarjun Hanamantraya Biradar</t>
  </si>
  <si>
    <t>mallikarjuna@lyric.tech</t>
  </si>
  <si>
    <t>Manoj Muthu</t>
  </si>
  <si>
    <t>CB-117</t>
  </si>
  <si>
    <t>manoj@lyric.tech</t>
  </si>
  <si>
    <t>Mayank Kukreti</t>
  </si>
  <si>
    <t>mayank@lyric.tech</t>
  </si>
  <si>
    <t>Mohammad Awez Khan</t>
  </si>
  <si>
    <t>CB-28</t>
  </si>
  <si>
    <t>awez@lyric.tech</t>
  </si>
  <si>
    <t>Mustafa Vora</t>
  </si>
  <si>
    <t>CB-48</t>
  </si>
  <si>
    <t>mustafa@lyric.tech</t>
  </si>
  <si>
    <t>2404CE29B868</t>
  </si>
  <si>
    <t>Mustajab Ikram</t>
  </si>
  <si>
    <t>CB-180</t>
  </si>
  <si>
    <t>mustajab@lyric.tech</t>
  </si>
  <si>
    <t>NITHIN M THOMAS</t>
  </si>
  <si>
    <t>CB-124</t>
  </si>
  <si>
    <t>nithin@lyric.tech</t>
  </si>
  <si>
    <t>Namah Shrestha</t>
  </si>
  <si>
    <t>CB-58</t>
  </si>
  <si>
    <t>namah@lyric.tech</t>
  </si>
  <si>
    <t>Naman Maheshwari</t>
  </si>
  <si>
    <t>CB-158</t>
  </si>
  <si>
    <t>naman@lyric.tech</t>
  </si>
  <si>
    <t>Nandan Satapathy</t>
  </si>
  <si>
    <t>CB-89</t>
  </si>
  <si>
    <t>nandan@lyric.tech</t>
  </si>
  <si>
    <t>Neelam Garasia`</t>
  </si>
  <si>
    <t>CB-183</t>
  </si>
  <si>
    <t>neelam@lyric.tech</t>
  </si>
  <si>
    <t>Nelson Manvel Dias</t>
  </si>
  <si>
    <t>CB-109</t>
  </si>
  <si>
    <t>nelson@lyric.tech</t>
  </si>
  <si>
    <t>Nivedhan Murugavel</t>
  </si>
  <si>
    <t>CB-16</t>
  </si>
  <si>
    <t>nivedhan@lyric.tech</t>
  </si>
  <si>
    <t>Piyush Soni</t>
  </si>
  <si>
    <t>CB-190</t>
  </si>
  <si>
    <t>piyush@lyric.tech</t>
  </si>
  <si>
    <t>Pradeep Borade</t>
  </si>
  <si>
    <t>pradeep.borade@lyric.tech</t>
  </si>
  <si>
    <t>Pradhumna Rathore</t>
  </si>
  <si>
    <t>CB-57</t>
  </si>
  <si>
    <t>pradhumna@lyric.tech</t>
  </si>
  <si>
    <t>Prasun Anand</t>
  </si>
  <si>
    <t>CB-139</t>
  </si>
  <si>
    <t>prasun@lyric.tech</t>
  </si>
  <si>
    <t>Prerna Agarwal</t>
  </si>
  <si>
    <t>CB-108</t>
  </si>
  <si>
    <t>prerna@lyric.tech</t>
  </si>
  <si>
    <t>Priyang Mani Tripathi</t>
  </si>
  <si>
    <t>CB-191</t>
  </si>
  <si>
    <t>priyang@lyric.tech</t>
  </si>
  <si>
    <t>Priyesh Kumar</t>
  </si>
  <si>
    <t>CB-93</t>
  </si>
  <si>
    <t>priyesh@lyric.tech</t>
  </si>
  <si>
    <t>Pulkit Khandelwal</t>
  </si>
  <si>
    <t>130</t>
  </si>
  <si>
    <t>pulkit@lyric.tech</t>
  </si>
  <si>
    <t>Pushkar Kishor Oke</t>
  </si>
  <si>
    <t>CB-35</t>
  </si>
  <si>
    <t>pushkar@lyric.tech</t>
  </si>
  <si>
    <t>Raj Basotia</t>
  </si>
  <si>
    <t>CB-189</t>
  </si>
  <si>
    <t>raj.basotia@lyric.tech</t>
  </si>
  <si>
    <t>Ratnaji Vanga</t>
  </si>
  <si>
    <t>CB-81</t>
  </si>
  <si>
    <t>ratnaji@lyric.tech</t>
  </si>
  <si>
    <t>Rohit Agarwal</t>
  </si>
  <si>
    <t>CB-172</t>
  </si>
  <si>
    <t>rohit@lyric.tech</t>
  </si>
  <si>
    <t>Sachin Maheshwari</t>
  </si>
  <si>
    <t>CB-77</t>
  </si>
  <si>
    <t>sachin@lyric.tech</t>
  </si>
  <si>
    <t>Salman Khan</t>
  </si>
  <si>
    <t>CB-184</t>
  </si>
  <si>
    <t>salman@lyric.tech</t>
  </si>
  <si>
    <t>Satheesh Prabhakaran Venkatasamy</t>
  </si>
  <si>
    <t>CB-6</t>
  </si>
  <si>
    <t>satheesh@lyric.tech</t>
  </si>
  <si>
    <t>Sathishkumar L</t>
  </si>
  <si>
    <t>CB-85</t>
  </si>
  <si>
    <t>sathishkumar@lyric.tech</t>
  </si>
  <si>
    <t>Sathiya Moorthy D D</t>
  </si>
  <si>
    <t>CB-126</t>
  </si>
  <si>
    <t>sathiya@lyric.tech</t>
  </si>
  <si>
    <t>Saurav Sahay</t>
  </si>
  <si>
    <t>CB-51</t>
  </si>
  <si>
    <t>saurav@lyric.tech</t>
  </si>
  <si>
    <t>Shubham Rao</t>
  </si>
  <si>
    <t>CB-115</t>
  </si>
  <si>
    <t>shubhamrao@lyric.tech</t>
  </si>
  <si>
    <t>Siddhant Tiwary</t>
  </si>
  <si>
    <t>CB-118</t>
  </si>
  <si>
    <t>siddhant@lyric.tech</t>
  </si>
  <si>
    <t>Sidharth P</t>
  </si>
  <si>
    <t>CB-178</t>
  </si>
  <si>
    <t>sid@lyric.tech</t>
  </si>
  <si>
    <t>Sivaprakash S</t>
  </si>
  <si>
    <t>CB-156</t>
  </si>
  <si>
    <t>sivaprakash@lyric.tech</t>
  </si>
  <si>
    <t>Sivaraman R</t>
  </si>
  <si>
    <t>CB-175</t>
  </si>
  <si>
    <t>siva@lyric.tech</t>
  </si>
  <si>
    <t>Sivasai Thota</t>
  </si>
  <si>
    <t>CB-10</t>
  </si>
  <si>
    <t>sivasai@lyric.tech</t>
  </si>
  <si>
    <t>Snigdha Goley</t>
  </si>
  <si>
    <t>CB-154</t>
  </si>
  <si>
    <t>snigdha@lyric.tech</t>
  </si>
  <si>
    <t>Sudendra Priyan</t>
  </si>
  <si>
    <t>CB-17</t>
  </si>
  <si>
    <t>sudendrapriyan@lyric.tech</t>
  </si>
  <si>
    <t>Sushrut Dilip Mirzapure</t>
  </si>
  <si>
    <t>C-148</t>
  </si>
  <si>
    <t>sushrut@lyric.tech</t>
  </si>
  <si>
    <t>Syed Aslah Ahmad Faizi</t>
  </si>
  <si>
    <t>CB-54</t>
  </si>
  <si>
    <t>aslah@lyric.tech</t>
  </si>
  <si>
    <t>T. Praveen</t>
  </si>
  <si>
    <t>praveen@lyric.tech</t>
  </si>
  <si>
    <t>Tanya Perpetua D Souza</t>
  </si>
  <si>
    <t>CB-151</t>
  </si>
  <si>
    <t>tanya@lyric.tech</t>
  </si>
  <si>
    <t>Tinu Rohith</t>
  </si>
  <si>
    <t>CB-173</t>
  </si>
  <si>
    <t>tinurohith@lyric.tech</t>
  </si>
  <si>
    <t>Tushar Shekhar</t>
  </si>
  <si>
    <t>CB-67</t>
  </si>
  <si>
    <t>tushar@lyric.tech</t>
  </si>
  <si>
    <t>Vandan Shailesh Rogheliya</t>
  </si>
  <si>
    <t>CB-166</t>
  </si>
  <si>
    <t>vandan@lyric.tech</t>
  </si>
  <si>
    <t>Vedansh Wani</t>
  </si>
  <si>
    <t>CB-107</t>
  </si>
  <si>
    <t>vedansh@lyric.tech</t>
  </si>
  <si>
    <t>Venkata krishna praveen nunna</t>
  </si>
  <si>
    <t>CB-123</t>
  </si>
  <si>
    <t>krishna@lyric.tech</t>
  </si>
  <si>
    <t>Vidya Patil</t>
  </si>
  <si>
    <t>CB-105</t>
  </si>
  <si>
    <t>vidya@lyric.tech</t>
  </si>
  <si>
    <t>Vignes U S</t>
  </si>
  <si>
    <t>CB-38</t>
  </si>
  <si>
    <t>vignes@lyric.tech</t>
  </si>
  <si>
    <t>Vigneshwar Ravichandran</t>
  </si>
  <si>
    <t>44</t>
  </si>
  <si>
    <t>vigneshwar@lyric.tech</t>
  </si>
  <si>
    <t>Vismay Luhadiya</t>
  </si>
  <si>
    <t>vismay@lyric.tech</t>
  </si>
  <si>
    <t>mayank sharma</t>
  </si>
  <si>
    <t>CB-165</t>
  </si>
  <si>
    <t>mayanksharma@lyric.tech</t>
  </si>
  <si>
    <t>shubham kumar</t>
  </si>
  <si>
    <t>CB-63</t>
  </si>
  <si>
    <t>shubham@lyric.tech</t>
  </si>
  <si>
    <t>Aaditya Mahadevan</t>
  </si>
  <si>
    <t>CB-155</t>
  </si>
  <si>
    <t>aaditya@lyric.tech</t>
  </si>
  <si>
    <t>Laptop</t>
  </si>
  <si>
    <t>F4WJG4Y50W</t>
  </si>
  <si>
    <t>LG3XTXTH3W</t>
  </si>
  <si>
    <t>JXPJQJVNNX</t>
  </si>
  <si>
    <t>YR52GQ3NPJ</t>
  </si>
  <si>
    <t>C4494R72L7</t>
  </si>
  <si>
    <t>Akash Kumar</t>
  </si>
  <si>
    <t>CB-56</t>
  </si>
  <si>
    <t>akash@lyric.tech</t>
  </si>
  <si>
    <t>GR2G2TX2LK</t>
  </si>
  <si>
    <t>Akhil Naravi</t>
  </si>
  <si>
    <t>CB-18</t>
  </si>
  <si>
    <t>akhil@lyric.tech</t>
  </si>
  <si>
    <t>K4NG9C9KK</t>
  </si>
  <si>
    <t>FQTWQPF7D5</t>
  </si>
  <si>
    <t>Akshat Jain</t>
  </si>
  <si>
    <t>akshat@lyric.tech</t>
  </si>
  <si>
    <t>XNCWRJV9X5</t>
  </si>
  <si>
    <t>H9P2NGC2DG</t>
  </si>
  <si>
    <t>Alen Sebastian</t>
  </si>
  <si>
    <t>40</t>
  </si>
  <si>
    <t>alen@lyric.tech</t>
  </si>
  <si>
    <t>VH2HV62MPJ</t>
  </si>
  <si>
    <t>CY7C145469</t>
  </si>
  <si>
    <t>Aman Verma</t>
  </si>
  <si>
    <t>CB-143</t>
  </si>
  <si>
    <t>aman.verma@lyric.tech</t>
  </si>
  <si>
    <t>GGJ9LX6F7T</t>
  </si>
  <si>
    <t>G006F7TLJD</t>
  </si>
  <si>
    <t>DJYVFR7YGK</t>
  </si>
  <si>
    <t>D2JYQDMCXP</t>
  </si>
  <si>
    <t>GCWJRV73L9</t>
  </si>
  <si>
    <t>PF44JJ92</t>
  </si>
  <si>
    <t>Anshul Gupta</t>
  </si>
  <si>
    <t>CB-177</t>
  </si>
  <si>
    <t>anshul@lyric.tech</t>
  </si>
  <si>
    <t>K7G3N9CK2K</t>
  </si>
  <si>
    <t>Anugya Srivastava</t>
  </si>
  <si>
    <t>CB-145</t>
  </si>
  <si>
    <t>anugya@lyric.tech</t>
  </si>
  <si>
    <t>JG3RG90Y4V</t>
  </si>
  <si>
    <t>Anuj Shirgaonkar</t>
  </si>
  <si>
    <t>CB-74</t>
  </si>
  <si>
    <t>anuj@lyric.tech</t>
  </si>
  <si>
    <t>GHWX77HFNP</t>
  </si>
  <si>
    <t>DWFL63W2RC</t>
  </si>
  <si>
    <t>Apoorv Garg</t>
  </si>
  <si>
    <t>CB-11</t>
  </si>
  <si>
    <t>apoorv@lyric.tech</t>
  </si>
  <si>
    <t>HL0G49M4K2</t>
  </si>
  <si>
    <t>JXPRW7M446</t>
  </si>
  <si>
    <t>Arnab Kumar Roy</t>
  </si>
  <si>
    <t>arnab@lyric.tech</t>
  </si>
  <si>
    <t>PF3PR0DQ</t>
  </si>
  <si>
    <t>D57QX0QDTD</t>
  </si>
  <si>
    <t>Ashita Boyina</t>
  </si>
  <si>
    <t>CB-129</t>
  </si>
  <si>
    <t>ashita@lyric.tech</t>
  </si>
  <si>
    <t>D97K40K691</t>
  </si>
  <si>
    <t>Ashwin Garg</t>
  </si>
  <si>
    <t>CB-142</t>
  </si>
  <si>
    <t>ashwin@lyric.tech</t>
  </si>
  <si>
    <t>MVG67HWMQX</t>
  </si>
  <si>
    <t>KJ6F67XX4N</t>
  </si>
  <si>
    <t>PF - 5DQ9NX</t>
  </si>
  <si>
    <t>MWQ9Y0GVCM</t>
  </si>
  <si>
    <t>MMPKFCY2YF</t>
  </si>
  <si>
    <t>Y79H1GH10G</t>
  </si>
  <si>
    <t>DHNP4QDYYK</t>
  </si>
  <si>
    <t>GV33WGQ0HL</t>
  </si>
  <si>
    <t>Dasari Jeevan Swaroop</t>
  </si>
  <si>
    <t>CB-15</t>
  </si>
  <si>
    <t>jeevan@lyric.tech</t>
  </si>
  <si>
    <t>D17HVJ14F1</t>
  </si>
  <si>
    <t>Dasari Sai Saranya</t>
  </si>
  <si>
    <t>INT-003</t>
  </si>
  <si>
    <t>saranya@lyric.tech</t>
  </si>
  <si>
    <t>DESKTOP-TKN1J28, 20W0S1HU00</t>
  </si>
  <si>
    <t>Deba Kalyan Mohanty</t>
  </si>
  <si>
    <t>CB-42</t>
  </si>
  <si>
    <t>deb@lyric.tech</t>
  </si>
  <si>
    <t>0F3DBVH24043FB</t>
  </si>
  <si>
    <t>DX-0008H9</t>
  </si>
  <si>
    <t>JN371C6RWM</t>
  </si>
  <si>
    <t>J7P6PV3X45</t>
  </si>
  <si>
    <t>PF44YCQL</t>
  </si>
  <si>
    <t>D4JWHMWWYR</t>
  </si>
  <si>
    <t>H70T4HJGQC</t>
  </si>
  <si>
    <t>Gokul</t>
  </si>
  <si>
    <t>CB012</t>
  </si>
  <si>
    <t>gokul@lyric.tech</t>
  </si>
  <si>
    <t>DF06FMVD9L</t>
  </si>
  <si>
    <t>Gowthaman C</t>
  </si>
  <si>
    <t>INT-006</t>
  </si>
  <si>
    <t>gowthaman@lyric.tech</t>
  </si>
  <si>
    <t>H23CQ4PH9Y</t>
  </si>
  <si>
    <t>HarikalaPrasath A</t>
  </si>
  <si>
    <t>harikalaprasath@lyric.tech</t>
  </si>
  <si>
    <t>HVWCL2XD61</t>
  </si>
  <si>
    <t>Harsh Sharma</t>
  </si>
  <si>
    <t>CB-186</t>
  </si>
  <si>
    <t>harsh@lyric.tech</t>
  </si>
  <si>
    <t>D9KWRJ67HT</t>
  </si>
  <si>
    <t>CGJ99Q34XT</t>
  </si>
  <si>
    <t>MC6WQNYFQT</t>
  </si>
  <si>
    <t>M5J9LHDY55</t>
  </si>
  <si>
    <t>L9FJ21KGW4</t>
  </si>
  <si>
    <t>GW7TP70VFQ</t>
  </si>
  <si>
    <t>D35Q65FCJJ</t>
  </si>
  <si>
    <t>CM2GQ4GPXJ</t>
  </si>
  <si>
    <t>VF6WW3FQ49</t>
  </si>
  <si>
    <t>F60WY39GP6</t>
  </si>
  <si>
    <t>LYG5XW6R6Y</t>
  </si>
  <si>
    <t>DX-0007Q2</t>
  </si>
  <si>
    <t>GM2RD9GP44</t>
  </si>
  <si>
    <t>PF3PX6AK</t>
  </si>
  <si>
    <t>Kriti H Sahoo</t>
  </si>
  <si>
    <t>CB-187</t>
  </si>
  <si>
    <t>kriti@lyric.tech</t>
  </si>
  <si>
    <t>DX000850</t>
  </si>
  <si>
    <t>M1YCJX06RT</t>
  </si>
  <si>
    <t>Lakshmi Ganapathy</t>
  </si>
  <si>
    <t>CB-7</t>
  </si>
  <si>
    <t>ganapathy@lyric.tech</t>
  </si>
  <si>
    <t>C02H108SQ6LT</t>
  </si>
  <si>
    <t>DHK4N6JGP7</t>
  </si>
  <si>
    <t>HK67Y0HY9W</t>
  </si>
  <si>
    <t>MADHUR GUPTA</t>
  </si>
  <si>
    <t>CB-33</t>
  </si>
  <si>
    <t>madhur@lyric.tech</t>
  </si>
  <si>
    <t>Y719GFTXTW</t>
  </si>
  <si>
    <t>J721QQGHP1</t>
  </si>
  <si>
    <t>MY60PWRXN6</t>
  </si>
  <si>
    <t>Manesh Narayan K</t>
  </si>
  <si>
    <t>CB-136</t>
  </si>
  <si>
    <t>manesh@lyric.tech</t>
  </si>
  <si>
    <t>F6V0X95M49</t>
  </si>
  <si>
    <t>Mangesh Ghandat</t>
  </si>
  <si>
    <t>CB-68</t>
  </si>
  <si>
    <t>mangesh@lyric.tech</t>
  </si>
  <si>
    <t>7CC2A35B-0905-4F01-AC58-91B5260E9A93</t>
  </si>
  <si>
    <t>FWFJP20NYF</t>
  </si>
  <si>
    <t>GG3YNJ2WC9</t>
  </si>
  <si>
    <t>Mayur Rupraoji Morey</t>
  </si>
  <si>
    <t>CB-121</t>
  </si>
  <si>
    <t>mayur@lyric.tech</t>
  </si>
  <si>
    <t>G40QY3J5X7</t>
  </si>
  <si>
    <t>Meenarli Sharma</t>
  </si>
  <si>
    <t>CB30</t>
  </si>
  <si>
    <t>meenarli@lyric.tech</t>
  </si>
  <si>
    <t>MVC7JLXHR7</t>
  </si>
  <si>
    <t>Milind Kanetkar</t>
  </si>
  <si>
    <t>CB-64</t>
  </si>
  <si>
    <t>milind@lyric.tech</t>
  </si>
  <si>
    <t>J62Y7V9Y9N</t>
  </si>
  <si>
    <t>GQ3002L3XV</t>
  </si>
  <si>
    <t>C7X3Q6146H</t>
  </si>
  <si>
    <t>HG34W9T6HK</t>
  </si>
  <si>
    <t>MFLWX79L5Y</t>
  </si>
  <si>
    <t>HFL44MMPKW</t>
  </si>
  <si>
    <t>KN7PG752K9</t>
  </si>
  <si>
    <t>F17GH939HP</t>
  </si>
  <si>
    <t>Navin M</t>
  </si>
  <si>
    <t>CB-171</t>
  </si>
  <si>
    <t>navin@lyric.tech</t>
  </si>
  <si>
    <t>MVM22M7JN4</t>
  </si>
  <si>
    <t>DX-0006YQ</t>
  </si>
  <si>
    <t>K4DWYVV6GC</t>
  </si>
  <si>
    <t>Nirmiti Jain</t>
  </si>
  <si>
    <t>CB-36</t>
  </si>
  <si>
    <t>nirmiti@lyric.tech</t>
  </si>
  <si>
    <t>GK17QR4WLM</t>
  </si>
  <si>
    <t>Nitin Navali</t>
  </si>
  <si>
    <t>CB-192</t>
  </si>
  <si>
    <t>nitinnavali@lyric.tech</t>
  </si>
  <si>
    <t>CNX3YYN242</t>
  </si>
  <si>
    <t>QJ7KMX6Y34</t>
  </si>
  <si>
    <t>Om Prabhu</t>
  </si>
  <si>
    <t>CB-60</t>
  </si>
  <si>
    <t>om@lyric.tech</t>
  </si>
  <si>
    <t>LXY7W70NG6</t>
  </si>
  <si>
    <t>Parameswaran N</t>
  </si>
  <si>
    <t>CB-34</t>
  </si>
  <si>
    <t>parameswaran@lyric.tech</t>
  </si>
  <si>
    <t>XRD702YPNF</t>
  </si>
  <si>
    <t>JJNYVDHJ79</t>
  </si>
  <si>
    <t>CYJ2XGYDTH</t>
  </si>
  <si>
    <t>DX-00084B</t>
  </si>
  <si>
    <t>Pradeep Vijayakumar</t>
  </si>
  <si>
    <t>CB-20</t>
  </si>
  <si>
    <t>pradeep@lyric.tech</t>
  </si>
  <si>
    <t>W5X6MQ0KGM</t>
  </si>
  <si>
    <t>F09FN2WTQP</t>
  </si>
  <si>
    <t>Pradyot Mohanty</t>
  </si>
  <si>
    <t>CB-52</t>
  </si>
  <si>
    <t>pradyot@lyric.tech</t>
  </si>
  <si>
    <t>G27VMWXQFG</t>
  </si>
  <si>
    <t>M2W09VPG3Q</t>
  </si>
  <si>
    <t>LXNTHL75Q7</t>
  </si>
  <si>
    <t>DTH3WVQTW9</t>
  </si>
  <si>
    <t>PF3PRV40</t>
  </si>
  <si>
    <t>F79V2K2MFX</t>
  </si>
  <si>
    <t>PF42EWTC</t>
  </si>
  <si>
    <t>R V Vineeth Kumar</t>
  </si>
  <si>
    <t>CB-78</t>
  </si>
  <si>
    <t>vineeth@lyric.tech</t>
  </si>
  <si>
    <t>PF-45NLV9</t>
  </si>
  <si>
    <t>Rahul Ramesh</t>
  </si>
  <si>
    <t>CB-103</t>
  </si>
  <si>
    <t>rahul@lyric.tech</t>
  </si>
  <si>
    <t>K4F7060YXQ</t>
  </si>
  <si>
    <t>PF-5E7A2B</t>
  </si>
  <si>
    <t>M09D1HPXD3</t>
  </si>
  <si>
    <t>Raj Sharma</t>
  </si>
  <si>
    <t>CB-152</t>
  </si>
  <si>
    <t>raj@lyric.tech</t>
  </si>
  <si>
    <t>H7HVW5DYX9</t>
  </si>
  <si>
    <t>Rajdeep Choudhuri</t>
  </si>
  <si>
    <t>CB-29</t>
  </si>
  <si>
    <t>rajdeep@lyric.tech</t>
  </si>
  <si>
    <t>PF-423AL0</t>
  </si>
  <si>
    <t>FT60M0DJHC</t>
  </si>
  <si>
    <t>KH92YW1R3W</t>
  </si>
  <si>
    <t>Rounak Datta</t>
  </si>
  <si>
    <t>CB-46</t>
  </si>
  <si>
    <t>rounak@lyric.tech</t>
  </si>
  <si>
    <t>C6061P4G59</t>
  </si>
  <si>
    <t>KRRYWMHGWF</t>
  </si>
  <si>
    <t>L300Q2554M</t>
  </si>
  <si>
    <t>Saichand Mondem</t>
  </si>
  <si>
    <t>100</t>
  </si>
  <si>
    <t>saichand@lyric.tech</t>
  </si>
  <si>
    <t>K16LNXRW5C</t>
  </si>
  <si>
    <t>Saket Jajoo</t>
  </si>
  <si>
    <t>CB-23</t>
  </si>
  <si>
    <t>saket@lyric.tech</t>
  </si>
  <si>
    <t>P6YT6Q93DG</t>
  </si>
  <si>
    <t>JR7W4W9Q01</t>
  </si>
  <si>
    <t>Saloni Agrawal</t>
  </si>
  <si>
    <t>INT-004</t>
  </si>
  <si>
    <t>saloni@lyric.tech</t>
  </si>
  <si>
    <t>GDCV7H073L</t>
  </si>
  <si>
    <t>Saloni Dhawan</t>
  </si>
  <si>
    <t>167</t>
  </si>
  <si>
    <t>salonidhawan@lyric.tech</t>
  </si>
  <si>
    <t>GKXLTD3FY9</t>
  </si>
  <si>
    <t>Sarang Jagdale</t>
  </si>
  <si>
    <t>sarang@lyric.tech</t>
  </si>
  <si>
    <t>PF-3E191D</t>
  </si>
  <si>
    <t>DXGY1YHQ42</t>
  </si>
  <si>
    <t>JC79XQTCNQ</t>
  </si>
  <si>
    <t>LQ4R415C66</t>
  </si>
  <si>
    <t>Satish Gandham</t>
  </si>
  <si>
    <t>CB-97</t>
  </si>
  <si>
    <t>satish.gandham@lyric.tech</t>
  </si>
  <si>
    <t>F7LVJG2D7J</t>
  </si>
  <si>
    <t>PF-5E6WFB</t>
  </si>
  <si>
    <t>KM1W4RTJWV</t>
  </si>
  <si>
    <t>Sharang S Burde</t>
  </si>
  <si>
    <t>CB-9</t>
  </si>
  <si>
    <t>sharang@lyric.tech</t>
  </si>
  <si>
    <t>GV7KXN2L7G</t>
  </si>
  <si>
    <t>CH9GVYXKG0</t>
  </si>
  <si>
    <t>MDY14Y6W9Y</t>
  </si>
  <si>
    <t>KK6D6D7JCF</t>
  </si>
  <si>
    <t>FF2NQ99WKJ</t>
  </si>
  <si>
    <t>M6Y4H4X706</t>
  </si>
  <si>
    <t>QM4DH63HDQ</t>
  </si>
  <si>
    <t>HP4H3CD46C</t>
  </si>
  <si>
    <t>Sohel Muntashir Qureshi</t>
  </si>
  <si>
    <t>sohel@lyric.tech</t>
  </si>
  <si>
    <t>PF414D9C</t>
  </si>
  <si>
    <t>Sreeja Vijayadurai</t>
  </si>
  <si>
    <t>CB-110</t>
  </si>
  <si>
    <t>sreeja@lyric.tech</t>
  </si>
  <si>
    <t>H63XNQ7PW5</t>
  </si>
  <si>
    <t>Srivatsan Kadambi Seshadri</t>
  </si>
  <si>
    <t>CB-95</t>
  </si>
  <si>
    <t>srivatsan@lyric.tech</t>
  </si>
  <si>
    <t>0F36WP824343GT</t>
  </si>
  <si>
    <t>KR641T6WC7</t>
  </si>
  <si>
    <t>8CG4110GDJ</t>
  </si>
  <si>
    <t>Susheel Kumar Reddy Nerallapally</t>
  </si>
  <si>
    <t>CB-141</t>
  </si>
  <si>
    <t>susheel@lyric.tech</t>
  </si>
  <si>
    <t>PF-5E75HQ</t>
  </si>
  <si>
    <t>LP4KK61X44</t>
  </si>
  <si>
    <t>HC404GHY34</t>
  </si>
  <si>
    <t>C3R29CJ3LT</t>
  </si>
  <si>
    <t>JHKC459MQL</t>
  </si>
  <si>
    <t>J94G63RGV4</t>
  </si>
  <si>
    <t>Tushar Gohel</t>
  </si>
  <si>
    <t>CB-101</t>
  </si>
  <si>
    <t>tushar.gohel@lyric.tech</t>
  </si>
  <si>
    <t>GQXFYWM3Y2</t>
  </si>
  <si>
    <t>KGWQVQDFW0</t>
  </si>
  <si>
    <t>UMAKANTA PATTANAYAK</t>
  </si>
  <si>
    <t>CB-113</t>
  </si>
  <si>
    <t>umakanta@lyric.tech</t>
  </si>
  <si>
    <t>HQX7JFPKTP</t>
  </si>
  <si>
    <t>M3X4L29GFN</t>
  </si>
  <si>
    <t>G27Q9214V9</t>
  </si>
  <si>
    <t>FK7QTMQWT2</t>
  </si>
  <si>
    <t>FF9W23JC0D</t>
  </si>
  <si>
    <t>HY7KP95G72</t>
  </si>
  <si>
    <t>R7WQ9Q7532</t>
  </si>
  <si>
    <t>Vigneshwar Thiyagarajan</t>
  </si>
  <si>
    <t>cb-128</t>
  </si>
  <si>
    <t>vigneshwar.t@lyric.tech</t>
  </si>
  <si>
    <t>JN4F710W06</t>
  </si>
  <si>
    <t>L9HK9MX243</t>
  </si>
  <si>
    <t>HTV2237KF6</t>
  </si>
  <si>
    <t>CG2H0KF9NR</t>
  </si>
  <si>
    <t>Monitor</t>
  </si>
  <si>
    <t>407NTRL2W262</t>
  </si>
  <si>
    <t>4UQMH4TT200747Y</t>
  </si>
  <si>
    <t>0UKAHNAX00143V</t>
  </si>
  <si>
    <t>CY37H4ZT600119R</t>
  </si>
  <si>
    <t>Monitor1:CY37H4ZT600114M</t>
  </si>
  <si>
    <t>Monitor2:CY37H4ZT600203X</t>
  </si>
  <si>
    <t>CY37H4ZT600104V</t>
  </si>
  <si>
    <t>LS24A400UJWXXL</t>
  </si>
  <si>
    <t>Monitor 1: 0UKAHNAY800354</t>
  </si>
  <si>
    <t>0JAHNAX400133</t>
  </si>
  <si>
    <t>0JAHNAX400122</t>
  </si>
  <si>
    <t>0FJAHNAX400150B</t>
  </si>
  <si>
    <t>0UKAHNAY800358V</t>
  </si>
  <si>
    <t>0UKAHNAY800351M</t>
  </si>
  <si>
    <t>LS24A600UCWXXL</t>
  </si>
  <si>
    <t>0UKAHNAXA00146J</t>
  </si>
  <si>
    <t>OUKAHNAXA00128P</t>
  </si>
  <si>
    <t>CY37H4ZT600205Z</t>
  </si>
  <si>
    <t>0UXJHNBY900865W</t>
  </si>
  <si>
    <t>Monitor1: 0LBCHNMX700137L</t>
  </si>
  <si>
    <t>Monitor2: 0LBCHNMX700143K</t>
  </si>
  <si>
    <t>0UKAHNAXA00154T</t>
  </si>
  <si>
    <t>0UKAHNAXA00133J</t>
  </si>
  <si>
    <t>Samsung 
(Need Serial No)</t>
  </si>
  <si>
    <t>0F76HNBX400096T</t>
  </si>
  <si>
    <t>0FJAHNAX300018H</t>
  </si>
  <si>
    <t>will update</t>
  </si>
  <si>
    <t>CN-01HH9M-WSL00-49C-AREL-A07</t>
  </si>
  <si>
    <t>0UKAHNAXA00131W</t>
  </si>
  <si>
    <t>Not have monitor with me currently</t>
  </si>
  <si>
    <t>0UKAHNAXA00283</t>
  </si>
  <si>
    <t>0UKAHNAXA00298</t>
  </si>
  <si>
    <t>Monitor1:0FJAHNAX400147W</t>
  </si>
  <si>
    <t>Monitor2:0FJAHNAX300024V</t>
  </si>
  <si>
    <t>4UQMH4TT200756B</t>
  </si>
  <si>
    <t>Not yet opened</t>
  </si>
  <si>
    <t>only received the package</t>
  </si>
  <si>
    <t>0UKAHNAY800325W</t>
  </si>
  <si>
    <t>Monitor1: 0UKAHNAY800340</t>
  </si>
  <si>
    <t>Monitor2: 0UKAHNAY800350</t>
  </si>
  <si>
    <t>Monitor1: 0FJAHNAX300027L</t>
  </si>
  <si>
    <t>Monitor2: 0FJAHNAX400138Z</t>
  </si>
  <si>
    <t>0VXJHNBY701341R</t>
  </si>
  <si>
    <t>CY37H4ZT600100X</t>
  </si>
  <si>
    <t>Monitor1: 0F JAHNAX400155L</t>
  </si>
  <si>
    <t>Monitor2: 0F JAHNAX300006D</t>
  </si>
  <si>
    <t>0UKAHNAXA00162A</t>
  </si>
  <si>
    <t>2 Samsung monitors. (Serial No. is not available at present came to hometown. Will share once available)
(Need Serial No)</t>
  </si>
  <si>
    <t>0UKAHNAXA00136F</t>
  </si>
  <si>
    <t>407NYTAT146</t>
  </si>
  <si>
    <t>Monitor: 0UKAHNAY800352L</t>
  </si>
  <si>
    <t>0UKAHNAY800339T</t>
  </si>
  <si>
    <t>Monitor1: 0FJAHNAX400151</t>
  </si>
  <si>
    <t>Monitor2: 0FJANHAX300023</t>
  </si>
  <si>
    <t>0UKAHNAY800327Z</t>
  </si>
  <si>
    <t>CY37H4ZT600124H</t>
  </si>
  <si>
    <t>0UKAHNAY800341A</t>
  </si>
  <si>
    <t>0UKAHNAY000336E</t>
  </si>
  <si>
    <t>0UKAHNAXA00167T</t>
  </si>
  <si>
    <t>0FJAHNAX300015R</t>
  </si>
  <si>
    <t>CY37H4ZT600220K</t>
  </si>
  <si>
    <t>Monitor 1: CY37H4ZT600090F</t>
  </si>
  <si>
    <t>Monitor 2: CY37H4ZT600099V</t>
  </si>
  <si>
    <t>Monitor1: CV37H4ZT600113X</t>
  </si>
  <si>
    <t>0UKAHNAY80033</t>
  </si>
  <si>
    <t>0UKAHNAXA00291</t>
  </si>
  <si>
    <t>OUKAHNAXA00330</t>
  </si>
  <si>
    <t>One Monitor only. S/N 0FJAHNAX400128V</t>
  </si>
  <si>
    <t>OUKAHNAY800344</t>
  </si>
  <si>
    <t>0FJAHNAX400140M</t>
  </si>
  <si>
    <t>506NTPCDU240</t>
  </si>
  <si>
    <t>Monitor1: ET86R04093019</t>
  </si>
  <si>
    <t>Monitor2: ETS4R03277019</t>
  </si>
  <si>
    <t>LS24D604UAWXXL</t>
  </si>
  <si>
    <t>0UKAHNAY800324H</t>
  </si>
  <si>
    <t>4UQMH4TT200777K</t>
  </si>
  <si>
    <t>4UQMH4TT200763P</t>
  </si>
  <si>
    <t>Monitor: CY37H4ZT600201H</t>
  </si>
  <si>
    <t>0FJAHNAX400136T</t>
  </si>
  <si>
    <t>Monitor1: 408NTLEDU376</t>
  </si>
  <si>
    <t>0FJAHNAX400096P</t>
  </si>
  <si>
    <t>0FJAHNAX400145H</t>
  </si>
  <si>
    <t>0UKAHNAY800321</t>
  </si>
  <si>
    <t>0FJAHNAX400127P</t>
  </si>
  <si>
    <t>Monitor1: CY37H4ZT600067N</t>
  </si>
  <si>
    <t>Monitor1: OFJAHNAX300020Z</t>
  </si>
  <si>
    <t>Monitor2: OFJAHNAX300014L</t>
  </si>
  <si>
    <t>0UKAHNAY800333B</t>
  </si>
  <si>
    <t>0FJAHNAX400124F</t>
  </si>
  <si>
    <t>0FJAHNAX400116N</t>
  </si>
  <si>
    <t>0UKAHNAY800258D</t>
  </si>
  <si>
    <t>0UKAHNAY800346B</t>
  </si>
  <si>
    <t>0UKAHNAY800342X</t>
  </si>
  <si>
    <t>Monitor1: 4UQMH4TT200746X</t>
  </si>
  <si>
    <t>Will share it after 7th Dec as i came to my hometown 
(Need Serial No)</t>
  </si>
  <si>
    <t>have informed to Saranya 
(Need Serial No)</t>
  </si>
  <si>
    <t>CY37H4ZRC00159L</t>
  </si>
  <si>
    <t>LS24A600U</t>
  </si>
  <si>
    <t>Not using now</t>
  </si>
  <si>
    <t>OUXLHNAX800078F</t>
  </si>
  <si>
    <t>OUXLHNAX800119K</t>
  </si>
  <si>
    <t>0UKAHNAXC00044A</t>
  </si>
  <si>
    <t>Monitor1: 0FJAHNAX400160P</t>
  </si>
  <si>
    <t>Monitor2: 0FJAHNAX400153M</t>
  </si>
  <si>
    <t>Monitor 1: LS24A600U</t>
  </si>
  <si>
    <t>Monitor 2: LS24A600U</t>
  </si>
  <si>
    <t>0UKAHNAY800355X</t>
  </si>
  <si>
    <t>0FJAHNAX400163B</t>
  </si>
  <si>
    <t>MONITOR 1 - CY37H4ZT600188E</t>
  </si>
  <si>
    <t>MONITOR 2 - CY37H4ZT600066K</t>
  </si>
  <si>
    <t>0UKAHNAXA00142L</t>
  </si>
  <si>
    <t>CY37H4ZT600134F</t>
  </si>
  <si>
    <t>0UKAHNAXA00151Z</t>
  </si>
  <si>
    <t>0UKAHNAXA00149F</t>
  </si>
  <si>
    <t>Monitor1</t>
  </si>
  <si>
    <t>0UKAHNAY800349E</t>
  </si>
  <si>
    <t>0FJAHNAX300013A</t>
  </si>
  <si>
    <t>0FJAHNAX300016P</t>
  </si>
  <si>
    <t>0UKAHNAXA00286</t>
  </si>
  <si>
    <t>0UKAHNAXA00555</t>
  </si>
  <si>
    <t>0FJAHNAX400121W</t>
  </si>
  <si>
    <t>0FJAHNAX300028R</t>
  </si>
  <si>
    <t>4UQMH4TT200753H</t>
  </si>
  <si>
    <t>Monitor1: OUKAΗΝΑΧΑ00111E</t>
  </si>
  <si>
    <t>Monitor2: CY37H4ZT600070M</t>
  </si>
  <si>
    <t>0F76HNBX400019R</t>
  </si>
  <si>
    <t>CY374ZT600074A</t>
  </si>
  <si>
    <t>0UKAHNAY800353K</t>
  </si>
  <si>
    <t>Monitor1:0FJAHNAX390026A</t>
  </si>
  <si>
    <t>Monitor2:0FJAHNAX390947W</t>
  </si>
  <si>
    <t>Mouse</t>
  </si>
  <si>
    <t>CC2HH6006CA0000555</t>
  </si>
  <si>
    <t>CC2409508AM17YMBT</t>
  </si>
  <si>
    <t>CC2401307BU177YMAD</t>
  </si>
  <si>
    <t>2401LXEFWG8</t>
  </si>
  <si>
    <t>Speaker</t>
  </si>
  <si>
    <t>Trackpad</t>
  </si>
  <si>
    <t>Total Assets: 515</t>
  </si>
  <si>
    <t>SlNo.</t>
  </si>
  <si>
    <t>AssetCategory</t>
  </si>
  <si>
    <t>AssetType</t>
  </si>
  <si>
    <t>VendorName</t>
  </si>
  <si>
    <t>InvoiceNo</t>
  </si>
  <si>
    <t>AccountedDate</t>
  </si>
  <si>
    <t>DateofInvoice</t>
  </si>
  <si>
    <t>Invoiceverifiedandapprovedby</t>
  </si>
  <si>
    <t>AssetSerialNo</t>
  </si>
  <si>
    <t>status</t>
  </si>
  <si>
    <t>AssetCondition</t>
  </si>
  <si>
    <t>Assignedto</t>
  </si>
  <si>
    <t>CostoftheAsset</t>
  </si>
  <si>
    <t>GST</t>
  </si>
  <si>
    <t>Comment</t>
  </si>
  <si>
    <t>Computers</t>
  </si>
  <si>
    <t>FutureWorldRetailPvtLtd</t>
  </si>
  <si>
    <t>ST04212204448</t>
  </si>
  <si>
    <t>GSTAmountCapitalized</t>
  </si>
  <si>
    <t>ST04212204562</t>
  </si>
  <si>
    <t>Amazon</t>
  </si>
  <si>
    <t>MH-506959765-2122</t>
  </si>
  <si>
    <t>B095SQM9KM(ZY-ESV7-8CDF)</t>
  </si>
  <si>
    <t xml:space="preserve">False </t>
  </si>
  <si>
    <t>ConsultingRoomsPrivateLimited</t>
  </si>
  <si>
    <t>FAFO7W2200248992</t>
  </si>
  <si>
    <t>RakeshTradingCompany</t>
  </si>
  <si>
    <t>RTC2122G16007</t>
  </si>
  <si>
    <t>CJC09F234F</t>
  </si>
  <si>
    <t>TotheattentionofArun</t>
  </si>
  <si>
    <t>RTC2122G16008</t>
  </si>
  <si>
    <t>RTC2122G16295</t>
  </si>
  <si>
    <t>C02GT20KQ6LT</t>
  </si>
  <si>
    <t>C02GT23EQ6LT</t>
  </si>
  <si>
    <t>W35X4YCP6Y</t>
  </si>
  <si>
    <t>WTJR6XJKF7</t>
  </si>
  <si>
    <t>GKY9LXTFKP</t>
  </si>
  <si>
    <t>RTC2122G16296</t>
  </si>
  <si>
    <t>RT4KV260J0</t>
  </si>
  <si>
    <t>RTC2122G17480</t>
  </si>
  <si>
    <t>LK63GVF4Q3</t>
  </si>
  <si>
    <t>KQYDF7931Q</t>
  </si>
  <si>
    <t>QC764DMQQR</t>
  </si>
  <si>
    <t>RTC2122G18813</t>
  </si>
  <si>
    <t>CY37H4ZRC00447</t>
  </si>
  <si>
    <t>CY37H4ZRC00174</t>
  </si>
  <si>
    <t>RTC2122G18814</t>
  </si>
  <si>
    <t>CY37H4ZRC00498</t>
  </si>
  <si>
    <t>CY37H4ZRC00293</t>
  </si>
  <si>
    <t>RTC2122G18815</t>
  </si>
  <si>
    <t>CY37H4ZRC00333</t>
  </si>
  <si>
    <t>CY37H4ZRC00277</t>
  </si>
  <si>
    <t>RTC2122G18817</t>
  </si>
  <si>
    <t>CY37H4ZRC00159</t>
  </si>
  <si>
    <t>RTC2122G18976</t>
  </si>
  <si>
    <t>CY37H4ZRC00167</t>
  </si>
  <si>
    <t>RTC2223G3761</t>
  </si>
  <si>
    <t>4UQMH4TT200853</t>
  </si>
  <si>
    <t>4UQMH4TT200495</t>
  </si>
  <si>
    <t>RTC2223G3760</t>
  </si>
  <si>
    <t>4UQMH4TT200756</t>
  </si>
  <si>
    <t>RTC2223G10129</t>
  </si>
  <si>
    <t>CY37H4ZT600188</t>
  </si>
  <si>
    <t>N1VW1RW5HC</t>
  </si>
  <si>
    <t>RTC2223G12454</t>
  </si>
  <si>
    <t>RTC2223G12450</t>
  </si>
  <si>
    <t>FPDFYR9FT4</t>
  </si>
  <si>
    <t>RTC2223G14490</t>
  </si>
  <si>
    <t>4UQMH4TT200754</t>
  </si>
  <si>
    <t>RTC223G14489</t>
  </si>
  <si>
    <t>4UQMH4TT300351</t>
  </si>
  <si>
    <t>4UQMH4TT300364</t>
  </si>
  <si>
    <t>RTC2223G14680</t>
  </si>
  <si>
    <t>WSX6MQOKGM</t>
  </si>
  <si>
    <t>4UQMH4TT200777</t>
  </si>
  <si>
    <t>4UQMH4TT200763</t>
  </si>
  <si>
    <t>12/054</t>
  </si>
  <si>
    <t>ProformaInvoice</t>
  </si>
  <si>
    <t>P6YT6Q39DG</t>
  </si>
  <si>
    <t>D452CD6KXQ</t>
  </si>
  <si>
    <t>4UQMH4TT200746</t>
  </si>
  <si>
    <t>RTC2223G16084</t>
  </si>
  <si>
    <t>J9MW47TDL2</t>
  </si>
  <si>
    <t xml:space="preserve">false </t>
  </si>
  <si>
    <t>RTC2223G16291</t>
  </si>
  <si>
    <t>PF4SWEEN</t>
  </si>
  <si>
    <t>RTC2223G17053</t>
  </si>
  <si>
    <t>PF45N6W7</t>
  </si>
  <si>
    <t>RTC2223G20853</t>
  </si>
  <si>
    <t>4UQMH4TT300341</t>
  </si>
  <si>
    <t>RTC2223G20854</t>
  </si>
  <si>
    <t>4UQMH4TT300409</t>
  </si>
  <si>
    <t>RTC2324G1321</t>
  </si>
  <si>
    <t>PF45VGED</t>
  </si>
  <si>
    <t>RTC2324G1307</t>
  </si>
  <si>
    <t>LQXCLJFMQ0</t>
  </si>
  <si>
    <t>K3VLY4GFN9</t>
  </si>
  <si>
    <t>RTC2324G1320</t>
  </si>
  <si>
    <t>CY37H4ZT600090</t>
  </si>
  <si>
    <t>RTC2324G2572</t>
  </si>
  <si>
    <t>CY37H4ZT600099</t>
  </si>
  <si>
    <t>RTC2324G2932</t>
  </si>
  <si>
    <t>CY37H4ZT600082</t>
  </si>
  <si>
    <t>CY37H4ZT600072</t>
  </si>
  <si>
    <t>PF423AL0</t>
  </si>
  <si>
    <t>RTC2324G4372</t>
  </si>
  <si>
    <t>QHKY9VXXWK</t>
  </si>
  <si>
    <t>CY37H4ZT600220</t>
  </si>
  <si>
    <t>RTC2324G4688</t>
  </si>
  <si>
    <t>RTC2324G5306</t>
  </si>
  <si>
    <t>CY37H4ZT600097</t>
  </si>
  <si>
    <t>CY37H4ZT600192</t>
  </si>
  <si>
    <t>RTC2324G6178</t>
  </si>
  <si>
    <t>CY37H4ZT600119</t>
  </si>
  <si>
    <t>RTC2324G6179</t>
  </si>
  <si>
    <t>PF423ADC</t>
  </si>
  <si>
    <t>RTC2324G8007</t>
  </si>
  <si>
    <t>CY37H4ZT600209</t>
  </si>
  <si>
    <t>RTC2324G8006</t>
  </si>
  <si>
    <t>Y719FGTXTW</t>
  </si>
  <si>
    <t>RTC2324G8148</t>
  </si>
  <si>
    <t>RTC2324G10293</t>
  </si>
  <si>
    <t>CY37H4ZT600067</t>
  </si>
  <si>
    <t>RTC2324G11998</t>
  </si>
  <si>
    <t>SG7M61XMNW1</t>
  </si>
  <si>
    <t>RTC2324G12023</t>
  </si>
  <si>
    <t>CY37H42T600198</t>
  </si>
  <si>
    <t>CY37H42T600078</t>
  </si>
  <si>
    <t>AptronixECRChennai</t>
  </si>
  <si>
    <t>ECRTI/2324/1624</t>
  </si>
  <si>
    <t>PF41ZDDC</t>
  </si>
  <si>
    <t>RTC2324G13437</t>
  </si>
  <si>
    <t>PF426TX0</t>
  </si>
  <si>
    <t>RTC2324G13438</t>
  </si>
  <si>
    <t>PF42FN44</t>
  </si>
  <si>
    <t>RTC2324G15809</t>
  </si>
  <si>
    <t>PF42186W</t>
  </si>
  <si>
    <t>RTC2324G15810</t>
  </si>
  <si>
    <t>PF421CC2</t>
  </si>
  <si>
    <t>RTC2324G15808</t>
  </si>
  <si>
    <t>RTC23254G155807</t>
  </si>
  <si>
    <t>PF42FFB0</t>
  </si>
  <si>
    <t>RTC2324G15806</t>
  </si>
  <si>
    <t>RTC2324G16824</t>
  </si>
  <si>
    <t>CY37H4ZT600074</t>
  </si>
  <si>
    <t>RTC2324G14882</t>
  </si>
  <si>
    <t>CY37H4ZT600183</t>
  </si>
  <si>
    <t>RTC2324G14644</t>
  </si>
  <si>
    <t>L6R7VV52F4</t>
  </si>
  <si>
    <t>CY37H4ZT600055</t>
  </si>
  <si>
    <t>RTC2324G16960</t>
  </si>
  <si>
    <t>CY37H4ZT600102</t>
  </si>
  <si>
    <t>RTC2324G17315</t>
  </si>
  <si>
    <t>HY7KP5G72</t>
  </si>
  <si>
    <t>CY37H4ZT600168</t>
  </si>
  <si>
    <t>RTC2324G17946</t>
  </si>
  <si>
    <t>CY37H4ZT600197</t>
  </si>
  <si>
    <t>RTC2425G178</t>
  </si>
  <si>
    <t>CY37H4ZT600070</t>
  </si>
  <si>
    <t>PVV99R75FC</t>
  </si>
  <si>
    <t>RTC2425G180</t>
  </si>
  <si>
    <t>CY37H4ZT600141</t>
  </si>
  <si>
    <t>OF3DBVH24043FB</t>
  </si>
  <si>
    <t>RTC2425G179</t>
  </si>
  <si>
    <t>PFF44JJ92</t>
  </si>
  <si>
    <t>CY37H4ZT600205</t>
  </si>
  <si>
    <t>RTC2425G246</t>
  </si>
  <si>
    <t>PF463V54</t>
  </si>
  <si>
    <t>RTC2425G987</t>
  </si>
  <si>
    <t>CY37H4ZT600113</t>
  </si>
  <si>
    <t>RTC2425G988</t>
  </si>
  <si>
    <t>CY37H4ZT600066</t>
  </si>
  <si>
    <t>KMlW4RTJWV</t>
  </si>
  <si>
    <t>RTC2425G1155</t>
  </si>
  <si>
    <t>RTC2425G1249</t>
  </si>
  <si>
    <t>RTC2425G2326</t>
  </si>
  <si>
    <t>CY37H4ZT600100</t>
  </si>
  <si>
    <t>RTC2425G2328</t>
  </si>
  <si>
    <t>G2TVMWXQFG</t>
  </si>
  <si>
    <t>RTC2425G2327</t>
  </si>
  <si>
    <t>LXNW7GKWDJ</t>
  </si>
  <si>
    <t>CY37H4ZT600124</t>
  </si>
  <si>
    <t>RTC2425G2413</t>
  </si>
  <si>
    <t>G5WXL227XR</t>
  </si>
  <si>
    <t>RTC2425G1484</t>
  </si>
  <si>
    <t>CY37H4ZT600041</t>
  </si>
  <si>
    <t>RTC2425G2871</t>
  </si>
  <si>
    <t>MW0J5VYJ66</t>
  </si>
  <si>
    <t>RTC2425G2985</t>
  </si>
  <si>
    <t>CY37H4ZT600108</t>
  </si>
  <si>
    <t>RTC2425G3306</t>
  </si>
  <si>
    <t>CY37H4ZT600134</t>
  </si>
  <si>
    <t>RTC2425G3307</t>
  </si>
  <si>
    <t>CY37H4ZT600104</t>
  </si>
  <si>
    <t>RTC2425G3335</t>
  </si>
  <si>
    <t>RTC2425G4400</t>
  </si>
  <si>
    <t>CY37H4ZT600201</t>
  </si>
  <si>
    <t>RTC2425G4389</t>
  </si>
  <si>
    <t>CY37H4ZT60051</t>
  </si>
  <si>
    <t>CY37H4ZT600208</t>
  </si>
  <si>
    <t>RTC2425G4947</t>
  </si>
  <si>
    <t>H9RX3XYXVD</t>
  </si>
  <si>
    <t>CY37H4ZT600204</t>
  </si>
  <si>
    <t>RTC2425G5678</t>
  </si>
  <si>
    <t>L2WN3PPWCR</t>
  </si>
  <si>
    <t>CY37H4ZT600202</t>
  </si>
  <si>
    <t>RTC2425G5863</t>
  </si>
  <si>
    <t>C3GR9D14XH</t>
  </si>
  <si>
    <t>RTC2425G6161</t>
  </si>
  <si>
    <t>G7M6FHQVPF</t>
  </si>
  <si>
    <t>ET86R04093019</t>
  </si>
  <si>
    <t>RTC2425G6333</t>
  </si>
  <si>
    <t>ETS4R03277019</t>
  </si>
  <si>
    <t>RTC2425G6334</t>
  </si>
  <si>
    <t>PF41PEDD</t>
  </si>
  <si>
    <t>RTC2425G6375</t>
  </si>
  <si>
    <t>CY37H4ZT600101</t>
  </si>
  <si>
    <t>PF44AZR7</t>
  </si>
  <si>
    <t>RTC2425G6873</t>
  </si>
  <si>
    <t>K4NG9CC9KK</t>
  </si>
  <si>
    <t>RTC2425G6999</t>
  </si>
  <si>
    <t>RTC2425G7161</t>
  </si>
  <si>
    <t>CY37H4ZT600126</t>
  </si>
  <si>
    <t>RTC2425G7537</t>
  </si>
  <si>
    <t>RTC2425G7761</t>
  </si>
  <si>
    <t>CY37H4ZT600203</t>
  </si>
  <si>
    <t>RTC2425G7810</t>
  </si>
  <si>
    <t>CY37H4ZT600114</t>
  </si>
  <si>
    <t>RTC2425G7843</t>
  </si>
  <si>
    <t>CY37H4ZT600125</t>
  </si>
  <si>
    <t>LY290FRQVK</t>
  </si>
  <si>
    <t>RTC2425G7756</t>
  </si>
  <si>
    <t>CY37H4ZT600056</t>
  </si>
  <si>
    <t>GHWXTTHFNP</t>
  </si>
  <si>
    <t>RTC2425G8048</t>
  </si>
  <si>
    <t>0FJAHNAX300026</t>
  </si>
  <si>
    <t>0FJAHNAX300047</t>
  </si>
  <si>
    <t>RTC2425G8157</t>
  </si>
  <si>
    <t>RTC2425G8770</t>
  </si>
  <si>
    <t>0FJAHNAX400147</t>
  </si>
  <si>
    <t>0FJAHNAX300024</t>
  </si>
  <si>
    <t>RTC2425G9016</t>
  </si>
  <si>
    <t>DMQ4WRYX6Y</t>
  </si>
  <si>
    <t>MP26WGK4C1</t>
  </si>
  <si>
    <t>CY37H4ZT600218</t>
  </si>
  <si>
    <t>RTC2425G9645</t>
  </si>
  <si>
    <t>CY37H4ZT600216</t>
  </si>
  <si>
    <t>RTC2425G9646</t>
  </si>
  <si>
    <t>CY37H4ZT600190</t>
  </si>
  <si>
    <t>MW5640K00C</t>
  </si>
  <si>
    <t>RTC2425G9647</t>
  </si>
  <si>
    <t>0FJAHNAX300012</t>
  </si>
  <si>
    <t>CY37H4ZT600110</t>
  </si>
  <si>
    <t>RTC2425G9643</t>
  </si>
  <si>
    <t>G4HN4X7DY0</t>
  </si>
  <si>
    <t>0FJAHNAX400159</t>
  </si>
  <si>
    <t>0FJAHNAX400156</t>
  </si>
  <si>
    <t>RTC2425G9644</t>
  </si>
  <si>
    <t>0FJAHNAX300010</t>
  </si>
  <si>
    <t>0FJAHNAX300015</t>
  </si>
  <si>
    <t>RTC2425G10108</t>
  </si>
  <si>
    <t>0FJAHNAX400150</t>
  </si>
  <si>
    <t>RTC2425G10109</t>
  </si>
  <si>
    <t>0LBCHNMX700143</t>
  </si>
  <si>
    <t>0LBCHNMX700137</t>
  </si>
  <si>
    <t>PF45NLV9</t>
  </si>
  <si>
    <t>RTC2425G10272</t>
  </si>
  <si>
    <t>0FJAHNAX300014</t>
  </si>
  <si>
    <t>0FJAHNAX300020</t>
  </si>
  <si>
    <t>RTC2425G10445</t>
  </si>
  <si>
    <t>0FJAHNAX400138</t>
  </si>
  <si>
    <t>RTC2425G10897</t>
  </si>
  <si>
    <t>0FJAHNAX300027</t>
  </si>
  <si>
    <t>RTC2425G10675</t>
  </si>
  <si>
    <t>0FJAHNAX400124</t>
  </si>
  <si>
    <t>0FJAHNAX400116</t>
  </si>
  <si>
    <t>RTC2425G11156</t>
  </si>
  <si>
    <t>0FJAHNAX400134</t>
  </si>
  <si>
    <t>RTC2425G11155</t>
  </si>
  <si>
    <t>385XD34</t>
  </si>
  <si>
    <t>RTC2425G11228</t>
  </si>
  <si>
    <t>0FJAHNAX400125</t>
  </si>
  <si>
    <t>5CD4254MMT</t>
  </si>
  <si>
    <t>RTC2425G11371</t>
  </si>
  <si>
    <t>PF3PPA41</t>
  </si>
  <si>
    <t>RTC2425G12221</t>
  </si>
  <si>
    <t>0FJAHNAX400127</t>
  </si>
  <si>
    <t>RTC2425G12331</t>
  </si>
  <si>
    <t>RTC2425G12330</t>
  </si>
  <si>
    <t>0FJAHNAX400132</t>
  </si>
  <si>
    <t>0FJAHNAX300037</t>
  </si>
  <si>
    <t>RTC2425G12310</t>
  </si>
  <si>
    <t>0FJAHNAX400123</t>
  </si>
  <si>
    <t>0FJAHNAX400131</t>
  </si>
  <si>
    <t>RTC2425G12312</t>
  </si>
  <si>
    <t>5CD4254MP4</t>
  </si>
  <si>
    <t>PF3PX3K4</t>
  </si>
  <si>
    <t>RTC2425G12520</t>
  </si>
  <si>
    <t>5CD4254MLV</t>
  </si>
  <si>
    <t>RTC2425G11661</t>
  </si>
  <si>
    <t>C5GFNLX245</t>
  </si>
  <si>
    <t>RTC2425G12332</t>
  </si>
  <si>
    <t>0FJAHNAX400129</t>
  </si>
  <si>
    <t>RTC2425G12519</t>
  </si>
  <si>
    <t>0FJAHNAX4001577</t>
  </si>
  <si>
    <t>RTC2425G12311</t>
  </si>
  <si>
    <t>0FJAHNAX400137</t>
  </si>
  <si>
    <t>RTC2425G11678</t>
  </si>
  <si>
    <t>0FJAHNAX300006</t>
  </si>
  <si>
    <t>0FJAHNAX400155</t>
  </si>
  <si>
    <t>RTC2425G12496</t>
  </si>
  <si>
    <t>0FJAHNAX400128</t>
  </si>
  <si>
    <t>RTC2425G11833</t>
  </si>
  <si>
    <t>0FJAHNAX400133</t>
  </si>
  <si>
    <t>0FJAHNAX400122</t>
  </si>
  <si>
    <t>RTC2425G11952</t>
  </si>
  <si>
    <t>CM7WC0MNWH</t>
  </si>
  <si>
    <t>DRH47Q5HX5</t>
  </si>
  <si>
    <t>RTC2425G13681</t>
  </si>
  <si>
    <t>0FJAHNAX300008</t>
  </si>
  <si>
    <t>RTC2425G13864</t>
  </si>
  <si>
    <t>0FJAHNAX400154</t>
  </si>
  <si>
    <t>RTC2425G14001</t>
  </si>
  <si>
    <t>0FJAHNAX800078</t>
  </si>
  <si>
    <t>0FJAHNAX800119</t>
  </si>
  <si>
    <t>RTC2425G14009</t>
  </si>
  <si>
    <t>PF4148PQ</t>
  </si>
  <si>
    <t>0FJAHNAX300017</t>
  </si>
  <si>
    <t>RTC2425G14010</t>
  </si>
  <si>
    <t>RTC2425G14002</t>
  </si>
  <si>
    <t>G6QK71K4Y4</t>
  </si>
  <si>
    <t>4URCH4TW100441</t>
  </si>
  <si>
    <t>RTC2425G14023</t>
  </si>
  <si>
    <t>RTC2425G14059</t>
  </si>
  <si>
    <t>0FJAHNAX300018</t>
  </si>
  <si>
    <t>RTC2425G13360</t>
  </si>
  <si>
    <t>0FJAHNAX400136</t>
  </si>
  <si>
    <t>5CD420FFK3</t>
  </si>
  <si>
    <t>RTC2425G13353</t>
  </si>
  <si>
    <t>5CD420FFL5</t>
  </si>
  <si>
    <t>5CD420BQBL</t>
  </si>
  <si>
    <t>RTC2425G14211</t>
  </si>
  <si>
    <t>RTC2425G14212</t>
  </si>
  <si>
    <t>0FJAHNAX300023</t>
  </si>
  <si>
    <t>RTC2425G14213</t>
  </si>
  <si>
    <t>0FJAHNAX400151</t>
  </si>
  <si>
    <t>RTC2425G14539</t>
  </si>
  <si>
    <t>0FJAHNAX400121</t>
  </si>
  <si>
    <t>0FJAHNAX300028</t>
  </si>
  <si>
    <t>RTC2425G15224</t>
  </si>
  <si>
    <t>0FJAHNAX400145</t>
  </si>
  <si>
    <t>RTC2425G15605</t>
  </si>
  <si>
    <t>0FJAHNAX400096</t>
  </si>
  <si>
    <t>RTC2425G15606</t>
  </si>
  <si>
    <t>CXM2522P7R</t>
  </si>
  <si>
    <t>RTC2425G15608</t>
  </si>
  <si>
    <t>0FJAHNAX300030</t>
  </si>
  <si>
    <t>0FJAHNAX400144</t>
  </si>
  <si>
    <t>RTC2425G15626</t>
  </si>
  <si>
    <t>0FJAHNAX300016</t>
  </si>
  <si>
    <t>0FJAHNAX300013</t>
  </si>
  <si>
    <t>DT4PKQVDYP</t>
  </si>
  <si>
    <t>CN2425G154</t>
  </si>
  <si>
    <t>0FJAHNAX400146</t>
  </si>
  <si>
    <t>RTC2425G16083</t>
  </si>
  <si>
    <t>0FJAHNAX300042</t>
  </si>
  <si>
    <t>K4DWYVY6GC</t>
  </si>
  <si>
    <t>0FJAHNAX400140</t>
  </si>
  <si>
    <t>RTC2425G16627</t>
  </si>
  <si>
    <t>H23CQPH9Y</t>
  </si>
  <si>
    <t>0FJAHNAX300036</t>
  </si>
  <si>
    <t>0FJAHNAX400011</t>
  </si>
  <si>
    <t>RTC2425G16084</t>
  </si>
  <si>
    <t>0F36VMV24343GT</t>
  </si>
  <si>
    <t>RTC2425G16082</t>
  </si>
  <si>
    <t>HQXTJFPKTP</t>
  </si>
  <si>
    <t>0FJAHNAX400153</t>
  </si>
  <si>
    <t>RTC2425G16113</t>
  </si>
  <si>
    <t>0FJAHNAX400160</t>
  </si>
  <si>
    <t>CN2425G156</t>
  </si>
  <si>
    <t>RTC2425G16546</t>
  </si>
  <si>
    <t>RTC2425G17880</t>
  </si>
  <si>
    <t>RTC2425G17886</t>
  </si>
  <si>
    <t>0F76HNBX400019</t>
  </si>
  <si>
    <t>RTC2425G17882</t>
  </si>
  <si>
    <t>KDGPJLY2W4</t>
  </si>
  <si>
    <t>RTC2425G17881</t>
  </si>
  <si>
    <t>0F76HNBX500221</t>
  </si>
  <si>
    <t>RTC2425G18350</t>
  </si>
  <si>
    <t>0F76HNBX400107</t>
  </si>
  <si>
    <t>RTC2425G18422</t>
  </si>
  <si>
    <t>RTC2425G18420</t>
  </si>
  <si>
    <t>MFLWXT9L5Y</t>
  </si>
  <si>
    <t>RTC2425G18808</t>
  </si>
  <si>
    <t>0F76HNBXA00291</t>
  </si>
  <si>
    <t>0F76HNBXA00330</t>
  </si>
  <si>
    <t>RTC2425G19042</t>
  </si>
  <si>
    <t>0F76HNBXA00555</t>
  </si>
  <si>
    <t>RTC2526G277</t>
  </si>
  <si>
    <t>0F76HNBXA00286</t>
  </si>
  <si>
    <t>RTC2526G265</t>
  </si>
  <si>
    <t>DLCPXHR267</t>
  </si>
  <si>
    <t>0F76HNBXA00523</t>
  </si>
  <si>
    <t>0F76HNBXA00329</t>
  </si>
  <si>
    <t>RTC2526G605</t>
  </si>
  <si>
    <t>0F76HNBXA00298</t>
  </si>
  <si>
    <t>RTC2526G1051</t>
  </si>
  <si>
    <t>0F76HNBXA00283</t>
  </si>
  <si>
    <t>RTC2526G1102</t>
  </si>
  <si>
    <t>0F76HNBXA00296</t>
  </si>
  <si>
    <t>0F76HNBXA00295</t>
  </si>
  <si>
    <t>RTC2526G1097</t>
  </si>
  <si>
    <t>HK2YXDFTJ2</t>
  </si>
  <si>
    <t>D2X09NP4N6</t>
  </si>
  <si>
    <t>RTC2526G1209</t>
  </si>
  <si>
    <t>PF5E4YHF</t>
  </si>
  <si>
    <t>PF5E6WFB</t>
  </si>
  <si>
    <t>PF5EC269</t>
  </si>
  <si>
    <t>RTC2526G1210</t>
  </si>
  <si>
    <t>PF5E7A2B</t>
  </si>
  <si>
    <t>PF5EE152</t>
  </si>
  <si>
    <t>RTC2526G1362</t>
  </si>
  <si>
    <t>RTC2526G1667</t>
  </si>
  <si>
    <t>RTC2526G1668</t>
  </si>
  <si>
    <t>RTC2526G1823</t>
  </si>
  <si>
    <t>RTC2526G1824</t>
  </si>
  <si>
    <t>RTC2526G1822</t>
  </si>
  <si>
    <t>JDF9DWWW3N</t>
  </si>
  <si>
    <t>RTC2526G1805</t>
  </si>
  <si>
    <t>RTC2526G1804</t>
  </si>
  <si>
    <t>RTC2526G2487</t>
  </si>
  <si>
    <t>RTC2526G2488</t>
  </si>
  <si>
    <t>RTC2526G2489</t>
  </si>
  <si>
    <t>FHL2W4FLW4</t>
  </si>
  <si>
    <t>RTC2526G2491</t>
  </si>
  <si>
    <t>408NTLEDU376</t>
  </si>
  <si>
    <t>RTC2526G2492</t>
  </si>
  <si>
    <t>SM2W09VPG3Q</t>
  </si>
  <si>
    <t>RTC2526G2490</t>
  </si>
  <si>
    <t>RTC2526G2893</t>
  </si>
  <si>
    <t>0UKAHNAXA00044</t>
  </si>
  <si>
    <t>RTC2526G3357</t>
  </si>
  <si>
    <t>RTC2526G3445</t>
  </si>
  <si>
    <t>DXGY1VHQ42</t>
  </si>
  <si>
    <t>RTC2526G3446</t>
  </si>
  <si>
    <t>K1254XGJK0</t>
  </si>
  <si>
    <t>RTC2526G3708</t>
  </si>
  <si>
    <t>RTC2526G4375</t>
  </si>
  <si>
    <t>503NTCZ23867</t>
  </si>
  <si>
    <t>RTC2526G4676</t>
  </si>
  <si>
    <t>0UKAHNAXA00111</t>
  </si>
  <si>
    <t>Bluehill</t>
  </si>
  <si>
    <t>G/25-26/068</t>
  </si>
  <si>
    <t>506NTBKDU213</t>
  </si>
  <si>
    <t>RTC2526G5426</t>
  </si>
  <si>
    <t>RTC2526G5463</t>
  </si>
  <si>
    <t>RTC2526G5756</t>
  </si>
  <si>
    <t>0UKAHNAXA00162</t>
  </si>
  <si>
    <t>RTC2526G6507</t>
  </si>
  <si>
    <t>RTC2526G6576</t>
  </si>
  <si>
    <t>RTC2526G6623</t>
  </si>
  <si>
    <t>RTC2526G6701</t>
  </si>
  <si>
    <t>RTC2526G6805</t>
  </si>
  <si>
    <t>G006FTTLJD</t>
  </si>
  <si>
    <t>RTC2526G6896</t>
  </si>
  <si>
    <t>RTC2526G7396</t>
  </si>
  <si>
    <t>0UKAHNAXA00131</t>
  </si>
  <si>
    <t>RTC2526G7395</t>
  </si>
  <si>
    <t>PF5E75HQ</t>
  </si>
  <si>
    <t>RTC2526G7494</t>
  </si>
  <si>
    <t>FQNNMQJK0M</t>
  </si>
  <si>
    <t>RTC2526G7603</t>
  </si>
  <si>
    <t>408NTABDU384</t>
  </si>
  <si>
    <t>RTC2526G7724</t>
  </si>
  <si>
    <t>0UKAHNAXA00149</t>
  </si>
  <si>
    <t>RTC2526G8330</t>
  </si>
  <si>
    <t>RTC2526G8332</t>
  </si>
  <si>
    <t>GTK0CYN4N2</t>
  </si>
  <si>
    <t>RTC2526G8524</t>
  </si>
  <si>
    <t>0UKAHNAXA00144</t>
  </si>
  <si>
    <t>RTC2526G8680</t>
  </si>
  <si>
    <t>0UKAHNAXA00135</t>
  </si>
  <si>
    <t>RTC2526G8913</t>
  </si>
  <si>
    <t>0F76HNBX400096</t>
  </si>
  <si>
    <t>RTC2526G9047</t>
  </si>
  <si>
    <t>RTC2526G9046</t>
  </si>
  <si>
    <t>0UKAHNAXA00167</t>
  </si>
  <si>
    <t>RTC2526G2026</t>
  </si>
  <si>
    <t>RTC2526G4636</t>
  </si>
  <si>
    <t>RTC2526G5289</t>
  </si>
  <si>
    <t>0UKAHNAXA00142</t>
  </si>
  <si>
    <t>SJ32CQR32D7</t>
  </si>
  <si>
    <t>RTC2526G7695</t>
  </si>
  <si>
    <t>KFP3FYGQ6R</t>
  </si>
  <si>
    <t>RTC2526G7737</t>
  </si>
  <si>
    <t>RTC2526G7813</t>
  </si>
  <si>
    <t>PF5DQ9NX</t>
  </si>
  <si>
    <t>SKR641T6WC7</t>
  </si>
  <si>
    <t>RTC2526G4637</t>
  </si>
  <si>
    <t>SMVM22M7JN4</t>
  </si>
  <si>
    <t>CN2526G022</t>
  </si>
  <si>
    <t>SF4WJG4Y50W</t>
  </si>
  <si>
    <t>RTC2526G9356</t>
  </si>
  <si>
    <t>0UKAHNAY800333</t>
  </si>
  <si>
    <t>RTC2526G9473</t>
  </si>
  <si>
    <t>RTC2526G7855</t>
  </si>
  <si>
    <t>0UKAHNAY800358</t>
  </si>
  <si>
    <t>0UKAHNAY800351</t>
  </si>
  <si>
    <t>G/25-26/120</t>
  </si>
  <si>
    <t>RTC2526G9758</t>
  </si>
  <si>
    <t>RTC2526G9720</t>
  </si>
  <si>
    <t>RTC2526G9760</t>
  </si>
  <si>
    <t>0UKAHNAY800341</t>
  </si>
  <si>
    <t>RTC2526G9840</t>
  </si>
  <si>
    <t>0UKAHNAY800336</t>
  </si>
  <si>
    <t>RTC2526G10292</t>
  </si>
  <si>
    <t>0UKAHNAY800349</t>
  </si>
  <si>
    <t>G/25-26/130</t>
  </si>
  <si>
    <t>0UKAHNAY800343</t>
  </si>
  <si>
    <t>G/25-26/137</t>
  </si>
  <si>
    <t>0UKAHNAY800340</t>
  </si>
  <si>
    <t>G/25-26/115</t>
  </si>
  <si>
    <t>0UKAHNAY800350</t>
  </si>
  <si>
    <t>RTC2526G11438</t>
  </si>
  <si>
    <t>RTC2526G11784</t>
  </si>
  <si>
    <t>0UKAHNAY800342</t>
  </si>
  <si>
    <t>RTC2526G12219</t>
  </si>
  <si>
    <t>0UKAHNAY800346</t>
  </si>
  <si>
    <t>RTC2526G12309</t>
  </si>
  <si>
    <t>0UKAHNAY800353</t>
  </si>
  <si>
    <t>0UKAHNAY800354</t>
  </si>
  <si>
    <t>RTC2526G12352</t>
  </si>
  <si>
    <t>0UKAHNAY800356</t>
  </si>
  <si>
    <t>RTC2526G12473</t>
  </si>
  <si>
    <t>0UKAHNAY800345</t>
  </si>
  <si>
    <t>RTC2526G11728</t>
  </si>
  <si>
    <t>0UKAHNAY800258</t>
  </si>
  <si>
    <t>RTC2526G11778</t>
  </si>
  <si>
    <t>0UKAHNAY800259</t>
  </si>
  <si>
    <t>RTC2526G11781</t>
  </si>
  <si>
    <t>0UKAHNAY800257</t>
  </si>
  <si>
    <t>RTC2526G11783</t>
  </si>
  <si>
    <t>0UKAHNAY800260</t>
  </si>
  <si>
    <t>RTC2526G11780</t>
  </si>
  <si>
    <t>RTC2526G11785</t>
  </si>
  <si>
    <t>RTC2526G11891</t>
  </si>
  <si>
    <t>0UKAHNAY800355</t>
  </si>
  <si>
    <t>RTC2526G11790</t>
  </si>
  <si>
    <t>RTC2526G11791</t>
  </si>
  <si>
    <t>RTC2526G11792</t>
  </si>
  <si>
    <t>0UKAHNY800337</t>
  </si>
  <si>
    <t>RTC2526G11793</t>
  </si>
  <si>
    <t>RTC2526G11794</t>
  </si>
  <si>
    <t>0UKAHNY800352</t>
  </si>
  <si>
    <t>RTC2526G11795</t>
  </si>
  <si>
    <t>D591WFD6DW1</t>
  </si>
  <si>
    <t>RTC2526G12048</t>
  </si>
  <si>
    <t>0UKAHNY800338</t>
  </si>
  <si>
    <t>KJVF6XFXP0</t>
  </si>
  <si>
    <t>RTC2526G10612</t>
  </si>
  <si>
    <t>0UKAHNY800335</t>
  </si>
  <si>
    <t>RTC2526G10610</t>
  </si>
  <si>
    <t>0UXJHNBY701341</t>
  </si>
  <si>
    <t>RTC2526G10816</t>
  </si>
  <si>
    <t>RTC2526G11779</t>
  </si>
  <si>
    <t>0UKAHNAY800344</t>
  </si>
  <si>
    <t>RTC2526G10608</t>
  </si>
  <si>
    <t>DX0007Q2</t>
  </si>
  <si>
    <t>RTC2526G10488</t>
  </si>
  <si>
    <t>0UKAHNAY800339</t>
  </si>
  <si>
    <t>RTC2526G10446</t>
  </si>
  <si>
    <t>RTC2526G12682</t>
  </si>
  <si>
    <t>DX0008H9</t>
  </si>
  <si>
    <t>RTC2526G12680</t>
  </si>
  <si>
    <t>RTC2526G12678</t>
  </si>
  <si>
    <t>0UKAHNAY800245</t>
  </si>
  <si>
    <t>0UKAHNAY800323</t>
  </si>
  <si>
    <t>RTC2526G12988</t>
  </si>
  <si>
    <t>0UKAHNAY800322</t>
  </si>
  <si>
    <t>RTC2526G12974</t>
  </si>
  <si>
    <t>RTC2526G12995</t>
  </si>
  <si>
    <t>0UKAHNAY800325</t>
  </si>
  <si>
    <t>RTC2526G13003</t>
  </si>
  <si>
    <t>0UKAHNAY800327</t>
  </si>
  <si>
    <t>5CD5357HBC</t>
  </si>
  <si>
    <t>RTC2526G13155</t>
  </si>
  <si>
    <t>5CD5357H1Y</t>
  </si>
  <si>
    <t>RTC2526G11168</t>
  </si>
  <si>
    <t>DX0006YQ</t>
  </si>
  <si>
    <t>RTC2526G10921</t>
  </si>
  <si>
    <t>0UKAHNAY800329</t>
  </si>
  <si>
    <t>RTC2526G13350</t>
  </si>
  <si>
    <t>0UXJHNBY900865</t>
  </si>
  <si>
    <t>RTC2526G13348</t>
  </si>
  <si>
    <t>DX00084B</t>
  </si>
  <si>
    <t>RTC2526G13395</t>
  </si>
  <si>
    <t>0UKAHNAY800324</t>
  </si>
  <si>
    <t>RTC2526G13397</t>
  </si>
  <si>
    <t>HHHQF0QM9X</t>
  </si>
  <si>
    <t>RTC2526G13398</t>
  </si>
  <si>
    <t>0UKAHNAY800320</t>
  </si>
  <si>
    <t>RTC2526G13396</t>
  </si>
  <si>
    <t>F9T16J12J2</t>
  </si>
  <si>
    <t>CN2526G121</t>
  </si>
  <si>
    <t>0UKAHNAY800332</t>
  </si>
  <si>
    <t>CN2526G122</t>
  </si>
  <si>
    <t>MKJ2QLWD2V</t>
  </si>
  <si>
    <t>0UKAHNAY800319</t>
  </si>
  <si>
    <t>RTC2526G13483</t>
  </si>
  <si>
    <t>KDQV7157TT</t>
  </si>
  <si>
    <t>0UKAHNAY800318</t>
  </si>
  <si>
    <t>RTC2526G13589</t>
  </si>
  <si>
    <t>0UKCHNBY500182</t>
  </si>
  <si>
    <t>H6DT4M9WDG</t>
  </si>
  <si>
    <t>RTC2526G13634</t>
  </si>
  <si>
    <t>0UKAHNAY800269</t>
  </si>
  <si>
    <t>L6QWM5GF2V</t>
  </si>
  <si>
    <t>RTC2526G13504</t>
  </si>
  <si>
    <t>0UKAHNAY800326</t>
  </si>
  <si>
    <t>DP9VT2Q5Q9</t>
  </si>
  <si>
    <t>RTC2526G13709</t>
  </si>
  <si>
    <t>OUKAHNAYBOO2</t>
  </si>
  <si>
    <t>RTC2526G13710</t>
  </si>
  <si>
    <t>0UKAHNAYA00049</t>
  </si>
  <si>
    <t>RTC2526G13860</t>
  </si>
  <si>
    <t>0UKAHNAYA00014</t>
  </si>
  <si>
    <t>OUKAHNAYAOOOSO</t>
  </si>
  <si>
    <t>RTC2526G13849</t>
  </si>
  <si>
    <t>8CG5263955</t>
  </si>
  <si>
    <t>RTC2526G14682</t>
  </si>
  <si>
    <t>8CG526394X</t>
  </si>
  <si>
    <t>8CG52638Z2</t>
  </si>
  <si>
    <t>RTC2526G15142</t>
  </si>
  <si>
    <t>SGQYMP7H730</t>
  </si>
  <si>
    <t>RTC2526G15272</t>
  </si>
  <si>
    <t>H070N2TVQ5</t>
  </si>
  <si>
    <t>DKV37TJQPN</t>
  </si>
  <si>
    <t>RTC2526G15270</t>
  </si>
  <si>
    <t>F606J0FWPK</t>
  </si>
  <si>
    <t>HCWCXCXWR3</t>
  </si>
  <si>
    <t>RTC2526G15268</t>
  </si>
  <si>
    <t>L7J56MH45R</t>
  </si>
  <si>
    <t>K66FY0WY6V</t>
  </si>
  <si>
    <t>RTG2526G15345</t>
  </si>
  <si>
    <t>DTP2HX47L1</t>
  </si>
  <si>
    <t>RTC2526G16044</t>
  </si>
  <si>
    <t>H0Q7M4QTJG</t>
  </si>
  <si>
    <t>DK9CFD9137</t>
  </si>
  <si>
    <t>RTC2526G16580</t>
  </si>
  <si>
    <t>SG7QKWMWX0Q</t>
  </si>
  <si>
    <t>J6D4GDY209</t>
  </si>
  <si>
    <t>RTC2526G17416</t>
  </si>
  <si>
    <t>JDW5PFP6XL</t>
  </si>
  <si>
    <t>SGGM2264604</t>
  </si>
  <si>
    <t>RTC2526G18263</t>
  </si>
  <si>
    <t>SKJJT4TNVG0</t>
  </si>
  <si>
    <t>RTC2526G18262</t>
  </si>
  <si>
    <t>GQPCV76Q6L</t>
  </si>
  <si>
    <t>RTC2526G18264</t>
  </si>
  <si>
    <t>DJGF2KD7CH</t>
  </si>
  <si>
    <t>BluehillRetail</t>
  </si>
  <si>
    <t>G/25-26/190</t>
  </si>
  <si>
    <t>G/25-26/189</t>
  </si>
  <si>
    <t>PF45WEEN</t>
  </si>
  <si>
    <t>G/25-26/188</t>
  </si>
  <si>
    <t>CND23122FX</t>
  </si>
  <si>
    <t>RTC2526G13999</t>
  </si>
  <si>
    <t>PF3E191D</t>
  </si>
  <si>
    <t>G/25-26/151</t>
  </si>
  <si>
    <t>4UQMH4TT200747</t>
  </si>
  <si>
    <t>RTC2526G14833</t>
  </si>
  <si>
    <t>4UQMH4TT200753</t>
  </si>
  <si>
    <t>RTC2526G15215</t>
  </si>
  <si>
    <t>RTC2526G17126</t>
  </si>
  <si>
    <t>RTC2526G17414</t>
  </si>
  <si>
    <t>RTC2526G17639</t>
  </si>
  <si>
    <t>RTC2526G17635</t>
  </si>
  <si>
    <t>RTC2526G18565</t>
  </si>
  <si>
    <t>SPEcoreworkPrivateLimited</t>
  </si>
  <si>
    <t>SP-1877</t>
  </si>
  <si>
    <t>SP-1878</t>
  </si>
  <si>
    <t>RTC2526G17441</t>
  </si>
  <si>
    <t>RTC2223G16085</t>
  </si>
  <si>
    <t>RTC2223G15268</t>
  </si>
  <si>
    <t>RTC2223G15269</t>
  </si>
  <si>
    <t>RTC2223G15270</t>
  </si>
  <si>
    <t>UserName</t>
  </si>
  <si>
    <t>EmployeeID</t>
  </si>
  <si>
    <t>SerialNumber</t>
  </si>
  <si>
    <t>Status</t>
  </si>
  <si>
    <t>GAURAVASATI</t>
  </si>
  <si>
    <t>CY37H4ZT600126X(Needtocheckwhetherthisserialnumberbelongstoamonitororadesktop)</t>
  </si>
  <si>
    <t>PorkumaranGopal</t>
  </si>
  <si>
    <t>A69E897D-7CAA-4AB9-A9F0-8FDD83566A3D(Needtocheckwhetherthisserialnumberbelongstoamonitororadesktop)</t>
  </si>
  <si>
    <t>SUJITHAVENKATESHWARAN</t>
  </si>
  <si>
    <t>KarthikSharma</t>
  </si>
  <si>
    <t>LokeshSinghMahar</t>
  </si>
  <si>
    <t>MadhukarMMallia</t>
  </si>
  <si>
    <t>MustafaVora</t>
  </si>
  <si>
    <t>AadityaMahadevan</t>
  </si>
  <si>
    <t>AakashKaushik</t>
  </si>
  <si>
    <t>AbdulVahithZ</t>
  </si>
  <si>
    <t>AbhishekNahar</t>
  </si>
  <si>
    <t xml:space="preserve">True </t>
  </si>
  <si>
    <t>AdityaJaroli</t>
  </si>
  <si>
    <t>AkashKumar</t>
  </si>
  <si>
    <t>AkhilNaravi</t>
  </si>
  <si>
    <t>AkhouryShauryam</t>
  </si>
  <si>
    <t>AkshatJain</t>
  </si>
  <si>
    <t>AkshayaUthamaputhiran</t>
  </si>
  <si>
    <t>AlenSebastian</t>
  </si>
  <si>
    <t>AmanAgarwal</t>
  </si>
  <si>
    <t>AmanVerma</t>
  </si>
  <si>
    <t>AmishAshishSaxena</t>
  </si>
  <si>
    <t>AmitSingh</t>
  </si>
  <si>
    <t>AniruddhGopale</t>
  </si>
  <si>
    <t>AnjanaySaxena</t>
  </si>
  <si>
    <t>AnkitGupta</t>
  </si>
  <si>
    <t>AnshulGupta</t>
  </si>
  <si>
    <t>AnugyaSrivastava</t>
  </si>
  <si>
    <t>AnujShirgaonkar</t>
  </si>
  <si>
    <t>AnuragAgrawal</t>
  </si>
  <si>
    <t>ApoorvGarg</t>
  </si>
  <si>
    <t>AritraMajumder</t>
  </si>
  <si>
    <t>ArnabKumarRoy</t>
  </si>
  <si>
    <t>AshishSiyag</t>
  </si>
  <si>
    <t>AshitaBoyina</t>
  </si>
  <si>
    <t>AshwinGarg</t>
  </si>
  <si>
    <t>AthiraT</t>
  </si>
  <si>
    <t>AviralSingh</t>
  </si>
  <si>
    <t>PF-5DQ9NX</t>
  </si>
  <si>
    <t>AyoneeSengupta</t>
  </si>
  <si>
    <t>BalramRathore</t>
  </si>
  <si>
    <t>BhaarathVijayRamesh</t>
  </si>
  <si>
    <t>BharatUpadrasta</t>
  </si>
  <si>
    <t>ChaitanyaKulkarni</t>
  </si>
  <si>
    <t>DasariJeevanSwaroop</t>
  </si>
  <si>
    <t>DasariSaiSaranya</t>
  </si>
  <si>
    <t>DESKTOP-TKN1J28,20W0S1HU00</t>
  </si>
  <si>
    <t>DebaKalyanMohanty</t>
  </si>
  <si>
    <t>DhammapalAvhad</t>
  </si>
  <si>
    <t>DivyanshDubey</t>
  </si>
  <si>
    <t>GaneshPrasadBG</t>
  </si>
  <si>
    <t>GayathriSivaprakasam</t>
  </si>
  <si>
    <t>GowthamanC</t>
  </si>
  <si>
    <t>HarikalaPrasathA</t>
  </si>
  <si>
    <t>HarshSharma</t>
  </si>
  <si>
    <t>HimanshuSaraswat</t>
  </si>
  <si>
    <t>IshaChopra</t>
  </si>
  <si>
    <t>JaeyanthJKV</t>
  </si>
  <si>
    <t>JatinPanjwani</t>
  </si>
  <si>
    <t>JitendraKumarSingh</t>
  </si>
  <si>
    <t>JyotiranjanSahoo</t>
  </si>
  <si>
    <t>KanupriyaSharma</t>
  </si>
  <si>
    <t>KarthikMuthukrishnan</t>
  </si>
  <si>
    <t>KartikChaudhary</t>
  </si>
  <si>
    <t>KishoreAdiraju</t>
  </si>
  <si>
    <t>KislayKumar</t>
  </si>
  <si>
    <t>KrishnatTanajiDisale</t>
  </si>
  <si>
    <t>KritiHSahoo</t>
  </si>
  <si>
    <t>KuldeepNJ</t>
  </si>
  <si>
    <t>LakshmiGanapathy</t>
  </si>
  <si>
    <t>MADHURGUPTA</t>
  </si>
  <si>
    <t>MallikarjunHanamantrayaBiradar</t>
  </si>
  <si>
    <t>ManeshNarayanK</t>
  </si>
  <si>
    <t>MangeshGhandat</t>
  </si>
  <si>
    <t>ManojMuthu</t>
  </si>
  <si>
    <t>MayankKukreti</t>
  </si>
  <si>
    <t>MayurRupraojiMorey</t>
  </si>
  <si>
    <t>MeenarliSharma</t>
  </si>
  <si>
    <t>MilindKanetkar</t>
  </si>
  <si>
    <t>MohammadAwezKhan</t>
  </si>
  <si>
    <t>MustajabIkram</t>
  </si>
  <si>
    <t>NITHINMTHOMAS</t>
  </si>
  <si>
    <t>NamahShrestha</t>
  </si>
  <si>
    <t>NamanMaheshwari</t>
  </si>
  <si>
    <t>NandanSatapathy</t>
  </si>
  <si>
    <t>NavinM</t>
  </si>
  <si>
    <t>NeelamGarasia`</t>
  </si>
  <si>
    <t>NelsonManvelDias</t>
  </si>
  <si>
    <t>NirmitiJain</t>
  </si>
  <si>
    <t>NitinNavali</t>
  </si>
  <si>
    <t>NivedhanMurugavel</t>
  </si>
  <si>
    <t>OmPrabhu</t>
  </si>
  <si>
    <t>ParameswaranN</t>
  </si>
  <si>
    <t>PiyushSoni</t>
  </si>
  <si>
    <t>PradeepBorade</t>
  </si>
  <si>
    <t>PradeepVijayakumar</t>
  </si>
  <si>
    <t>PradhumnaRathore</t>
  </si>
  <si>
    <t>PradyotMohanty</t>
  </si>
  <si>
    <t>PrasunAnand</t>
  </si>
  <si>
    <t>PrernaAgarwal</t>
  </si>
  <si>
    <t>PriyangManiTripathi</t>
  </si>
  <si>
    <t>PriyeshKumar</t>
  </si>
  <si>
    <t>PulkitKhandelwal</t>
  </si>
  <si>
    <t>PushkarKishorOke</t>
  </si>
  <si>
    <t xml:space="preserve">true </t>
  </si>
  <si>
    <t>RVVineethKumar</t>
  </si>
  <si>
    <t>RahulRamesh</t>
  </si>
  <si>
    <t>RajBasotia</t>
  </si>
  <si>
    <t>RajSharma</t>
  </si>
  <si>
    <t>RajdeepChoudhuri</t>
  </si>
  <si>
    <t>RatnajiVanga</t>
  </si>
  <si>
    <t>RohitAgarwal</t>
  </si>
  <si>
    <t>RounakDatta</t>
  </si>
  <si>
    <t>SachinMaheshwari</t>
  </si>
  <si>
    <t>SaichandMondem</t>
  </si>
  <si>
    <t>SaketJajoo</t>
  </si>
  <si>
    <t>SalmanKhan</t>
  </si>
  <si>
    <t>SaloniAgrawal</t>
  </si>
  <si>
    <t>SaloniDhawan</t>
  </si>
  <si>
    <t>SarangJagdale</t>
  </si>
  <si>
    <t>SatheeshPrabhakaranVenkatasamy</t>
  </si>
  <si>
    <t>SathishkumarL</t>
  </si>
  <si>
    <t>SathiyaMoorthyDD</t>
  </si>
  <si>
    <t>SatishGandham</t>
  </si>
  <si>
    <t>SauravSahay</t>
  </si>
  <si>
    <t>SharangSBurde</t>
  </si>
  <si>
    <t>ShubhamRao</t>
  </si>
  <si>
    <t>SiddhantTiwary</t>
  </si>
  <si>
    <t>SidharthP</t>
  </si>
  <si>
    <t>SivaprakashS</t>
  </si>
  <si>
    <t>SivaramanR</t>
  </si>
  <si>
    <t>SivasaiThota</t>
  </si>
  <si>
    <t>SnigdhaGoley</t>
  </si>
  <si>
    <t>SohelMuntashirQureshi</t>
  </si>
  <si>
    <t>SreejaVijayadurai</t>
  </si>
  <si>
    <t>SudendraPriyan</t>
  </si>
  <si>
    <t>SusheelKumarReddyNerallapally</t>
  </si>
  <si>
    <t>SushrutDilipMirzapure</t>
  </si>
  <si>
    <t>SyedAslahAhmadFaizi</t>
  </si>
  <si>
    <t>T.Praveen</t>
  </si>
  <si>
    <t>TanyaPerpetuaDSouza</t>
  </si>
  <si>
    <t>TinuRohith</t>
  </si>
  <si>
    <t>TusharGohel</t>
  </si>
  <si>
    <t>TusharShekhar</t>
  </si>
  <si>
    <t>UMAKANTAPATTANAYAK</t>
  </si>
  <si>
    <t>VandanShaileshRogheliya</t>
  </si>
  <si>
    <t>VedanshWani</t>
  </si>
  <si>
    <t>Venkatakrishnapraveennunna</t>
  </si>
  <si>
    <t>VidyaPatil</t>
  </si>
  <si>
    <t>VignesUS</t>
  </si>
  <si>
    <t>VigneshwarRavichandran</t>
  </si>
  <si>
    <t>VigneshwarThiyagarajan</t>
  </si>
  <si>
    <t>VismayLuhadiya</t>
  </si>
  <si>
    <t>mayanksharma</t>
  </si>
  <si>
    <t>shubhamkumar</t>
  </si>
  <si>
    <t>CY37H4ZT600114M</t>
  </si>
  <si>
    <t>CY37H4ZT600203X</t>
  </si>
  <si>
    <t>0LBCHNMX700137L</t>
  </si>
  <si>
    <t>0LBCHNMX700143K</t>
  </si>
  <si>
    <t>Samsung
(NeedSerialNo)</t>
  </si>
  <si>
    <t>willupdate</t>
  </si>
  <si>
    <t>Nothavemonitorwithmecurrently</t>
  </si>
  <si>
    <t>0FJAHNAX400147W</t>
  </si>
  <si>
    <t>0FJAHNAX300024V</t>
  </si>
  <si>
    <t>Notyetopened</t>
  </si>
  <si>
    <t>onlyreceivedthepackage</t>
  </si>
  <si>
    <t>0FJAHNAX300027L</t>
  </si>
  <si>
    <t>0FJAHNAX400138Z</t>
  </si>
  <si>
    <t>0FJAHNAX400155L</t>
  </si>
  <si>
    <t>0FJAHNAX300006D</t>
  </si>
  <si>
    <t>2Samsungmonitors.(SerialNo.isnotavailableatpresentcametohometown.Willshareonceavailable)
(NeedSerialNo)</t>
  </si>
  <si>
    <t>0UKAHNAY800352L</t>
  </si>
  <si>
    <t>0FJANHAX300023</t>
  </si>
  <si>
    <t>CY37H4ZT600090F</t>
  </si>
  <si>
    <t>CY37H4ZT600099V</t>
  </si>
  <si>
    <t>CV37H4ZT600113X</t>
  </si>
  <si>
    <t>0FJAHNAX400128V</t>
  </si>
  <si>
    <t>CY37H4ZT600201H</t>
  </si>
  <si>
    <t>CY37H4ZT600067N</t>
  </si>
  <si>
    <t>0FJAHNAX300020Z</t>
  </si>
  <si>
    <t>0FJAHNAX300014L</t>
  </si>
  <si>
    <t>4UQMH4TT200746X</t>
  </si>
  <si>
    <t>Willshareitafter7thDecasicametomyhometown
(NeedSerialNo)</t>
  </si>
  <si>
    <t>haveinformedtoSaranya
(NeedSerialNo)</t>
  </si>
  <si>
    <t>Notusingnow</t>
  </si>
  <si>
    <t>0FJAHNAX400160P</t>
  </si>
  <si>
    <t>0FJAHNAX400153M</t>
  </si>
  <si>
    <t>SrivatsanKadambiSeshadri</t>
  </si>
  <si>
    <t>CY37H4ZT600188E</t>
  </si>
  <si>
    <t>CY37H4ZT600066K</t>
  </si>
  <si>
    <t>0UKAΗΝΑΧΑ00111E</t>
  </si>
  <si>
    <t>CY37H4ZT600070M</t>
  </si>
  <si>
    <t>0FJAHNAX390026A</t>
  </si>
  <si>
    <t>0FJAHNAX390947W</t>
  </si>
  <si>
    <t>Serial we not  found</t>
  </si>
  <si>
    <t>Grand Total</t>
  </si>
  <si>
    <t>Count of Status</t>
  </si>
  <si>
    <t>(blank)</t>
  </si>
  <si>
    <t>Laptop details</t>
  </si>
  <si>
    <t>Count</t>
  </si>
  <si>
    <t>Purchased</t>
  </si>
  <si>
    <t>Current</t>
  </si>
  <si>
    <t>GAP</t>
  </si>
  <si>
    <t>Lyric Nov report</t>
  </si>
  <si>
    <t>Inventory</t>
  </si>
  <si>
    <t>over all Laptop value</t>
  </si>
  <si>
    <t>Total asset value</t>
  </si>
  <si>
    <t>empolyee 195</t>
  </si>
  <si>
    <t>Assuming each laptop 1,85,000</t>
  </si>
  <si>
    <t>56083872 - 36615000</t>
  </si>
  <si>
    <t>Category</t>
  </si>
  <si>
    <t>As per Finance</t>
  </si>
  <si>
    <t>As per Our Records</t>
  </si>
  <si>
    <t>As per Nov Record</t>
  </si>
  <si>
    <t>Variance</t>
  </si>
  <si>
    <t>Purchased Assets</t>
  </si>
  <si>
    <t>Actual Usage</t>
  </si>
  <si>
    <t>Not Audited</t>
  </si>
  <si>
    <t xml:space="preserve">
</t>
  </si>
  <si>
    <t>Inventory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</si>
</sst>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_ ;_ * \-#,##0_ ;_ * &quot;-&quot;??_ ;_ @_ "/>
    <numFmt numFmtId="165" formatCode="[$-14009]dd/mm/yyyy;@"/>
  </numFmts>
  <fonts count="13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color rgb="FF243F60"/>
      <name val="Arial"/>
    </font>
    <font>
      <sz val="11"/>
      <color theme="1"/>
      <name val="Calibri"/>
      <family val="2"/>
      <scheme val="minor"/>
    </font>
    <font>
      <sz val="11"/>
      <color theme="1"/>
      <name val="Aptos Narrow"/>
      <family val="2"/>
      <scheme val="minor"/>
    </font>
    <font>
      <sz val="11"/>
      <name val="Tenorite"/>
    </font>
    <font>
      <sz val="11"/>
      <color theme="0"/>
      <name val="Tenorite"/>
    </font>
    <font>
      <sz val="10"/>
      <color rgb="FFFF0000"/>
      <name val="Arial"/>
    </font>
    <font>
      <sz val="10"/>
      <color theme="1"/>
      <name val="Arial"/>
      <charset val="1"/>
    </font>
    <font>
      <b/>
      <sz val="10"/>
      <color theme="1"/>
      <name val="Arial"/>
      <charset val="1"/>
    </font>
    <font>
      <b/>
      <sz val="12"/>
      <color rgb="FF000000"/>
      <name val="Aptos"/>
      <charset val="1"/>
    </font>
    <font>
      <sz val="12"/>
      <color rgb="FF000000"/>
      <name val="Aptos"/>
      <charset val="1"/>
    </font>
  </fonts>
  <fills count="21">
    <fill>
      <patternFill patternType="none"/>
    </fill>
    <fill>
      <patternFill patternType="gray125"/>
    </fill>
    <fill>
      <patternFill patternType="solid">
        <fgColor rgb="FF243F60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FADBD8"/>
      </patternFill>
    </fill>
    <fill>
      <patternFill patternType="solid">
        <fgColor rgb="FFD6EAF8"/>
      </patternFill>
    </fill>
    <fill>
      <patternFill patternType="solid">
        <fgColor rgb="FFEBD5F0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AE5D3"/>
      </patternFill>
    </fill>
    <fill>
      <patternFill patternType="solid">
        <fgColor rgb="FFD5F5E3"/>
      </patternFill>
    </fill>
    <fill>
      <patternFill patternType="solid">
        <fgColor rgb="FFF2F3F4"/>
      </patternFill>
    </fill>
    <fill>
      <patternFill patternType="solid">
        <fgColor theme="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  <border>
      <left style="thin">
        <color rgb="FF000000"/>
      </left>
      <right style="thin">
        <color rgb="FFCCCCCC"/>
      </right>
      <top style="thin">
        <color rgb="FFCCCCCC"/>
      </top>
      <bottom/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5" fillId="0" borderId="0"/>
  </cellStyleXfs>
  <cellXfs count="7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left" vertical="center"/>
    </xf>
    <xf numFmtId="0" fontId="3" fillId="0" borderId="0" xfId="0" applyFont="1"/>
    <xf numFmtId="0" fontId="2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6" fillId="13" borderId="2" xfId="2" applyFont="1" applyFill="1" applyBorder="1" applyAlignment="1">
      <alignment horizontal="center" vertical="center" wrapText="1"/>
    </xf>
    <xf numFmtId="0" fontId="7" fillId="14" borderId="2" xfId="2" applyFont="1" applyFill="1" applyBorder="1" applyAlignment="1">
      <alignment horizontal="center" vertical="center" wrapText="1"/>
    </xf>
    <xf numFmtId="0" fontId="7" fillId="15" borderId="2" xfId="2" applyFont="1" applyFill="1" applyBorder="1" applyAlignment="1">
      <alignment horizontal="center" vertical="center"/>
    </xf>
    <xf numFmtId="0" fontId="7" fillId="15" borderId="2" xfId="2" applyFont="1" applyFill="1" applyBorder="1" applyAlignment="1">
      <alignment horizontal="center" vertical="center" wrapText="1"/>
    </xf>
    <xf numFmtId="0" fontId="7" fillId="16" borderId="2" xfId="2" applyFont="1" applyFill="1" applyBorder="1" applyAlignment="1">
      <alignment horizontal="center" vertical="center" wrapText="1"/>
    </xf>
    <xf numFmtId="2" fontId="7" fillId="15" borderId="2" xfId="2" applyNumberFormat="1" applyFont="1" applyFill="1" applyBorder="1" applyAlignment="1">
      <alignment horizontal="center" vertical="center" wrapText="1"/>
    </xf>
    <xf numFmtId="164" fontId="7" fillId="15" borderId="2" xfId="1" applyNumberFormat="1" applyFont="1" applyFill="1" applyBorder="1" applyAlignment="1">
      <alignment horizontal="center" vertical="center" wrapText="1"/>
    </xf>
    <xf numFmtId="0" fontId="0" fillId="13" borderId="2" xfId="0" applyFill="1" applyBorder="1"/>
    <xf numFmtId="0" fontId="6" fillId="17" borderId="2" xfId="2" applyFont="1" applyFill="1" applyBorder="1" applyAlignment="1">
      <alignment vertical="center"/>
    </xf>
    <xf numFmtId="0" fontId="0" fillId="0" borderId="2" xfId="0" applyBorder="1"/>
    <xf numFmtId="165" fontId="0" fillId="0" borderId="2" xfId="0" applyNumberFormat="1" applyBorder="1"/>
    <xf numFmtId="2" fontId="0" fillId="0" borderId="2" xfId="0" applyNumberFormat="1" applyBorder="1" applyAlignment="1">
      <alignment horizontal="left"/>
    </xf>
    <xf numFmtId="164" fontId="0" fillId="0" borderId="2" xfId="1" applyNumberFormat="1" applyFont="1" applyBorder="1" applyAlignment="1"/>
    <xf numFmtId="1" fontId="0" fillId="0" borderId="2" xfId="0" applyNumberFormat="1" applyBorder="1" applyAlignment="1">
      <alignment horizontal="left"/>
    </xf>
    <xf numFmtId="0" fontId="0" fillId="18" borderId="2" xfId="0" applyFill="1" applyBorder="1"/>
    <xf numFmtId="0" fontId="6" fillId="18" borderId="2" xfId="2" applyFont="1" applyFill="1" applyBorder="1" applyAlignment="1">
      <alignment vertical="center"/>
    </xf>
    <xf numFmtId="165" fontId="0" fillId="18" borderId="2" xfId="0" applyNumberFormat="1" applyFill="1" applyBorder="1"/>
    <xf numFmtId="0" fontId="0" fillId="18" borderId="2" xfId="0" applyFill="1" applyBorder="1" applyAlignment="1">
      <alignment horizontal="left"/>
    </xf>
    <xf numFmtId="164" fontId="0" fillId="18" borderId="2" xfId="1" applyNumberFormat="1" applyFont="1" applyFill="1" applyBorder="1" applyAlignment="1"/>
    <xf numFmtId="0" fontId="0" fillId="13" borderId="2" xfId="0" applyFill="1" applyBorder="1" applyAlignment="1">
      <alignment horizontal="left"/>
    </xf>
    <xf numFmtId="15" fontId="0" fillId="0" borderId="2" xfId="0" applyNumberFormat="1" applyBorder="1"/>
    <xf numFmtId="14" fontId="0" fillId="0" borderId="2" xfId="0" applyNumberFormat="1" applyBorder="1"/>
    <xf numFmtId="2" fontId="0" fillId="13" borderId="2" xfId="0" applyNumberForma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16" borderId="2" xfId="0" applyFill="1" applyBorder="1"/>
    <xf numFmtId="0" fontId="0" fillId="19" borderId="2" xfId="0" applyFill="1" applyBorder="1"/>
    <xf numFmtId="165" fontId="0" fillId="0" borderId="2" xfId="0" applyNumberFormat="1" applyBorder="1" applyAlignment="1">
      <alignment horizontal="left"/>
    </xf>
    <xf numFmtId="0" fontId="0" fillId="17" borderId="2" xfId="0" applyFill="1" applyBorder="1"/>
    <xf numFmtId="165" fontId="0" fillId="13" borderId="2" xfId="0" applyNumberFormat="1" applyFill="1" applyBorder="1"/>
    <xf numFmtId="164" fontId="0" fillId="13" borderId="2" xfId="1" applyNumberFormat="1" applyFont="1" applyFill="1" applyBorder="1" applyAlignment="1"/>
    <xf numFmtId="0" fontId="8" fillId="4" borderId="1" xfId="0" applyFont="1" applyFill="1" applyBorder="1" applyAlignment="1">
      <alignment horizontal="left" vertical="center"/>
    </xf>
    <xf numFmtId="0" fontId="0" fillId="0" borderId="0" xfId="0" pivotButton="1"/>
    <xf numFmtId="164" fontId="0" fillId="0" borderId="0" xfId="0" applyNumberFormat="1"/>
    <xf numFmtId="0" fontId="9" fillId="0" borderId="5" xfId="0" applyFont="1" applyBorder="1" applyAlignment="1">
      <alignment readingOrder="1"/>
    </xf>
    <xf numFmtId="0" fontId="9" fillId="0" borderId="6" xfId="0" applyFont="1" applyBorder="1" applyAlignment="1">
      <alignment readingOrder="1"/>
    </xf>
    <xf numFmtId="0" fontId="9" fillId="0" borderId="7" xfId="0" applyFont="1" applyBorder="1" applyAlignment="1">
      <alignment readingOrder="1"/>
    </xf>
    <xf numFmtId="0" fontId="10" fillId="20" borderId="4" xfId="0" applyFont="1" applyFill="1" applyBorder="1" applyAlignment="1">
      <alignment readingOrder="1"/>
    </xf>
    <xf numFmtId="0" fontId="10" fillId="20" borderId="6" xfId="0" applyFont="1" applyFill="1" applyBorder="1" applyAlignment="1">
      <alignment readingOrder="1"/>
    </xf>
    <xf numFmtId="0" fontId="10" fillId="20" borderId="5" xfId="0" applyFont="1" applyFill="1" applyBorder="1" applyAlignment="1">
      <alignment readingOrder="1"/>
    </xf>
    <xf numFmtId="0" fontId="10" fillId="20" borderId="3" xfId="0" applyFont="1" applyFill="1" applyBorder="1" applyAlignment="1">
      <alignment readingOrder="1"/>
    </xf>
    <xf numFmtId="0" fontId="9" fillId="0" borderId="3" xfId="0" applyFont="1" applyBorder="1" applyAlignment="1">
      <alignment readingOrder="1"/>
    </xf>
    <xf numFmtId="0" fontId="0" fillId="0" borderId="3" xfId="0" applyBorder="1"/>
    <xf numFmtId="0" fontId="9" fillId="0" borderId="8" xfId="0" applyFont="1" applyBorder="1" applyAlignment="1">
      <alignment readingOrder="1"/>
    </xf>
    <xf numFmtId="0" fontId="9" fillId="0" borderId="9" xfId="0" applyFont="1" applyBorder="1" applyAlignment="1">
      <alignment readingOrder="1"/>
    </xf>
    <xf numFmtId="0" fontId="9" fillId="0" borderId="10" xfId="0" applyFont="1" applyBorder="1" applyAlignment="1">
      <alignment readingOrder="1"/>
    </xf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wrapText="1"/>
    </xf>
  </cellXfs>
  <cellStyles count="3">
    <cellStyle name="Comma" xfId="1" builtinId="3"/>
    <cellStyle name="Normal" xfId="0" builtinId="0"/>
    <cellStyle name="Normal 18" xfId="2" xr:uid="{38F608F7-ECFB-4CE9-8F43-E93CCCBC41B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02.723457638887" createdVersion="8" refreshedVersion="8" minRefreshableVersion="3" recordCount="491" xr:uid="{477AAA62-2A5D-464D-ABC2-4D6339F17EAF}">
  <cacheSource type="worksheet">
    <worksheetSource ref="A1:P492" sheet="Jagadish sir data"/>
  </cacheSource>
  <cacheFields count="15">
    <cacheField name="SlNo." numFmtId="0">
      <sharedItems containsSemiMixedTypes="0" containsString="0" containsNumber="1" containsInteger="1" minValue="1" maxValue="491"/>
    </cacheField>
    <cacheField name="AssetCategory" numFmtId="0">
      <sharedItems/>
    </cacheField>
    <cacheField name="AssetType" numFmtId="0">
      <sharedItems count="3">
        <s v="Laptop"/>
        <s v="Desktop"/>
        <s v="Monitor"/>
      </sharedItems>
    </cacheField>
    <cacheField name="VendorName" numFmtId="0">
      <sharedItems/>
    </cacheField>
    <cacheField name="InvoiceNo" numFmtId="0">
      <sharedItems/>
    </cacheField>
    <cacheField name="AccountedDate" numFmtId="0">
      <sharedItems containsSemiMixedTypes="0" containsNonDate="0" containsDate="1" containsString="0" minDate="2021-12-27T00:00:00" maxDate="2026-02-27T00:00:00"/>
    </cacheField>
    <cacheField name="DateofInvoice" numFmtId="0">
      <sharedItems containsSemiMixedTypes="0" containsNonDate="0" containsDate="1" containsString="0" minDate="2021-12-27T00:00:00" maxDate="2026-02-18T00:00:00"/>
    </cacheField>
    <cacheField name="Invoiceverifiedandapprovedby" numFmtId="0">
      <sharedItems containsNonDate="0" containsString="0" containsBlank="1"/>
    </cacheField>
    <cacheField name="AssetSerialNo" numFmtId="0">
      <sharedItems containsBlank="1" containsMixedTypes="1" containsNumber="1" containsInteger="1" minValue="798522773400072" maxValue="798522773400072" count="469">
        <s v="VF6WW3FQ49"/>
        <s v="Y79H1GH10G"/>
        <s v="B095SQM9KM(ZY-ESV7-8CDF)"/>
        <n v="798522773400072"/>
        <s v="CJC09F234F"/>
        <s v="C02H108SQ6LT"/>
        <s v="C02GT20KQ6LT"/>
        <s v="C02GT23EQ6LT"/>
        <s v="W35X4YCP6Y"/>
        <s v="WTJR6XJKF7"/>
        <s v="GKY9LXTFKP"/>
        <s v="QM4DH63HDQ"/>
        <s v="RT4KV260J0"/>
        <s v="LK63GVF4Q3"/>
        <s v="KQYDF7931Q"/>
        <s v="QC764DMQQR"/>
        <s v="QJ7KMX6Y34"/>
        <s v="CY37H4ZRC00447"/>
        <s v="CY37H4ZRC00174"/>
        <s v="CY37H4ZRC00498"/>
        <s v="CY37H4ZRC00293"/>
        <s v="CY37H4ZRC00333"/>
        <s v="CY37H4ZRC00277"/>
        <s v="CY37H4ZRC00159"/>
        <s v="CY37H4ZRC00167"/>
        <s v="HL0G49M4K2"/>
        <s v="4UQMH4TT200853"/>
        <s v="4UQMH4TT200495"/>
        <s v="4UQMH4TT200756"/>
        <s v="CY37H4ZT600188"/>
        <s v="N1VW1RW5HC"/>
        <s v="XRD702YPNF"/>
        <s v="FPDFYR9FT4"/>
        <s v="4UQMH4TT200754"/>
        <s v="4UQMH4TT300351"/>
        <s v="4UQMH4TT300364"/>
        <s v="WSX6MQOKGM"/>
        <s v="4UQMH4TT200777"/>
        <s v="4UQMH4TT200763"/>
        <m/>
        <s v="P6YT6Q39DG"/>
        <s v="D452CD6KXQ"/>
        <s v="4UQMH4TT200746"/>
        <s v="J9MW47TDL2"/>
        <s v="PF4SWEEN"/>
        <s v="PF45N6W7"/>
        <s v="4UQMH4TT300341"/>
        <s v="4UQMH4TT300409"/>
        <s v="PF45VGED"/>
        <s v="LQXCLJFMQ0"/>
        <s v="K3VLY4GFN9"/>
        <s v="CY37H4ZT600090"/>
        <s v="CY37H4ZT600099"/>
        <s v="CY37H4ZT600082"/>
        <s v="CY37H4ZT600072"/>
        <s v="PF423AL0"/>
        <s v="QHKY9VXXWK"/>
        <s v="CY37H4ZT600220"/>
        <s v="YR52GQ3NPJ"/>
        <s v="CY37H4ZT600097"/>
        <s v="CY37H4ZT600192"/>
        <s v="CY37H4ZT600119"/>
        <s v="PF423ADC"/>
        <s v="CY37H4ZT600209"/>
        <s v="Y719FGTXTW"/>
        <s v="GK17QR4WLM"/>
        <s v="PF42EWTC"/>
        <s v="CY37H4ZT600067"/>
        <s v="SG7M61XMNW1"/>
        <s v="CY37H42T600198"/>
        <s v="CY37H42T600078"/>
        <s v="PF41ZDDC"/>
        <s v="PF426TX0"/>
        <s v="PF42FN44"/>
        <s v="PF42186W"/>
        <s v="PF421CC2"/>
        <s v="VH2HV62MPJ"/>
        <s v="PF42FFB0"/>
        <s v="L9HK9MX243"/>
        <s v="CY37H4ZT600074"/>
        <s v="CY37H4ZT600183"/>
        <s v="L6R7VV52F4"/>
        <s v="CY37H4ZT600055"/>
        <s v="CY37H4ZT600102"/>
        <s v="HY7KP5G72"/>
        <s v="CY37H4ZT600168"/>
        <s v="J721QQGHP1"/>
        <s v="CY37H4ZT600197"/>
        <s v="R7WQ9Q7532"/>
        <s v="CY37H4ZT600070"/>
        <s v="PVV99R75FC"/>
        <s v="CY37H4ZT600141"/>
        <s v="OF3DBVH24043FB"/>
        <s v="PFF44JJ92"/>
        <s v="CY37H4ZT600205"/>
        <s v="PF463V54"/>
        <s v="CY37H4ZT600113"/>
        <s v="C6061P4G59"/>
        <s v="CY37H4ZT600066"/>
        <s v="KMlW4RTJWV"/>
        <s v="HFL44MMPKW"/>
        <s v="CGJ99Q34XT"/>
        <s v="CY37H4ZT600100"/>
        <s v="G2TVMWXQFG"/>
        <s v="LXNW7GKWDJ"/>
        <s v="CY37H4ZT600124"/>
        <s v="G5WXL227XR"/>
        <s v="D57QX0QDTD"/>
        <s v="CY37H4ZT600041"/>
        <s v="MW0J5VYJ66"/>
        <s v="CY37H4ZT600108"/>
        <s v="HC404GHY34"/>
        <s v="CY37H4ZT600134"/>
        <s v="FWFJP20NYF"/>
        <s v="GR2G2TX2LK"/>
        <s v="CY37H4ZT600104"/>
        <s v="F09FN2WTQP"/>
        <s v="CY37H4ZT600201"/>
        <s v="MMPKFCY2YF"/>
        <s v="CY37H4ZT60051"/>
        <s v="CY37H4ZT600208"/>
        <s v="H9RX3XYXVD"/>
        <s v="CY37H4ZT600204"/>
        <s v="DF06FMVD9L"/>
        <s v="L2WN3PPWCR"/>
        <s v="CY37H4ZT600202"/>
        <s v="C3GR9D14XH"/>
        <s v="G7M6FHQVPF"/>
        <s v="ET86R04093019"/>
        <s v="ETS4R03277019"/>
        <s v="PF41PEDD"/>
        <s v="CY37H4ZT600101"/>
        <s v="PF44AZR7"/>
        <s v="K4NG9CC9KK"/>
        <s v="CG2H0KF9NR"/>
        <s v="PF44YCQL"/>
        <s v="CY37H4ZT600126"/>
        <s v="8CG4110GDJ"/>
        <s v="C4494R72L7"/>
        <s v="CY37H4ZT600203"/>
        <s v="CY37H4ZT600114"/>
        <s v="KGWQVQDFW0"/>
        <s v="CY37H4ZT600125"/>
        <s v="LY290FRQVK"/>
        <s v="CY37H4ZT600056"/>
        <s v="GHWXTTHFNP"/>
        <s v="0FJAHNAX300026"/>
        <s v="0FJAHNAX300047"/>
        <s v="GV33WGQ0HL"/>
        <s v="0FJAHNAX400147"/>
        <s v="0FJAHNAX300024"/>
        <s v="DMQ4WRYX6Y"/>
        <s v="MP26WGK4C1"/>
        <s v="CY37H4ZT600218"/>
        <s v="CY37H4ZT600216"/>
        <s v="CM2GQ4GPXJ"/>
        <s v="CY37H4ZT600190"/>
        <s v="MW5640K00C"/>
        <s v="0FJAHNAX300012"/>
        <s v="CY37H4ZT600110"/>
        <s v="G4HN4X7DY0"/>
        <s v="0FJAHNAX400159"/>
        <s v="0FJAHNAX400156"/>
        <s v="0FJAHNAX300010"/>
        <s v="L300Q2554M"/>
        <s v="0FJAHNAX300015"/>
        <s v="0FJAHNAX400150"/>
        <s v="0LBCHNMX700143"/>
        <s v="0LBCHNMX700137"/>
        <s v="PF45NLV9"/>
        <s v="0FJAHNAX300014"/>
        <s v="0FJAHNAX300020"/>
        <s v="J62Y7V9Y9N"/>
        <s v="H70T4HJGQC"/>
        <s v="0FJAHNAX400138"/>
        <s v="0FJAHNAX300027"/>
        <s v="FT60M0DJHC"/>
        <s v="0FJAHNAX400124"/>
        <s v="0FJAHNAX400116"/>
        <s v="DJYVFR7YGK"/>
        <s v="0FJAHNAX400134"/>
        <s v="KJ6F67XX4N"/>
        <s v="385XD34"/>
        <s v="JC79XQTCNQ"/>
        <s v="0FJAHNAX400125"/>
        <s v="5CD4254MMT"/>
        <s v="PF3PPA41"/>
        <s v="PF3PRV40"/>
        <s v="0FJAHNAX400127"/>
        <s v="LQ4R415C66"/>
        <s v="0FJAHNAX400132"/>
        <s v="0FJAHNAX300037"/>
        <s v="GW7TP70VFQ"/>
        <s v="0FJAHNAX400123"/>
        <s v="0FJAHNAX400131"/>
        <s v="5CD4254MP4"/>
        <s v="PF3PX6AK"/>
        <s v="PF3PX3K4"/>
        <s v="5CD4254MLV"/>
        <s v="C5GFNLX245"/>
        <s v="0FJAHNAX400129"/>
        <s v="0FJAHNAX4001577"/>
        <s v="MC6WQNYFQT"/>
        <s v="0FJAHNAX400137"/>
        <s v="M5J9LHDY55"/>
        <s v="0FJAHNAX300006"/>
        <s v="0FJAHNAX400155"/>
        <s v="F17GH939HP"/>
        <s v="0FJAHNAX400128"/>
        <s v="CY7C145469"/>
        <s v="0FJAHNAX400133"/>
        <s v="0FJAHNAX400122"/>
        <s v="0FJAHNAX400163B"/>
        <s v="CM7WC0MNWH"/>
        <s v="DRH47Q5HX5"/>
        <s v="0FJAHNAX300008"/>
        <s v="0FJAHNAX400154"/>
        <s v="F7LVJG2D7J"/>
        <s v="0FJAHNAX800078"/>
        <s v="0FJAHNAX800119"/>
        <s v="PF4148PQ"/>
        <s v="GQXFYWM3Y2"/>
        <s v="0FJAHNAX300017"/>
        <s v="0F36WP824343GT"/>
        <s v="G6QK71K4Y4"/>
        <s v="4URCH4TW100441"/>
        <s v="PF3PR0DQ"/>
        <s v="0FJAHNAX300018"/>
        <s v="FQTWQPF7D5"/>
        <s v="0FJAHNAX400136"/>
        <s v="5CD420FFK3"/>
        <s v="5CD420FFL5"/>
        <s v="5CD420BQBL"/>
        <s v="GM2RD9GP44"/>
        <s v="0FJAHNAX300023"/>
        <s v="0FJAHNAX400151"/>
        <s v="FF9W23JC0D"/>
        <s v="0FJAHNAX400121"/>
        <s v="0FJAHNAX300028"/>
        <s v="K4F7060YXQ"/>
        <s v="LXNTHL75Q7"/>
        <s v="0FJAHNAX400145"/>
        <s v="0FJAHNAX400096"/>
        <s v="CXM2522P7R"/>
        <s v="0FJAHNAX300030"/>
        <s v="0FJAHNAX400144"/>
        <s v="G27Q9214V9"/>
        <s v="0FJAHNAX300016"/>
        <s v="0FJAHNAX300013"/>
        <s v="DT4PKQVDYP"/>
        <s v="0FJAHNAX400146"/>
        <s v="0FJAHNAX300042"/>
        <s v="K4DWYVY6GC"/>
        <s v="0FJAHNAX400140"/>
        <s v="H23CQPH9Y"/>
        <s v="0FJAHNAX300036"/>
        <s v="0FJAHNAX400011"/>
        <s v="0F36VMV24343GT"/>
        <s v="H63XNQ7PW5"/>
        <s v="HQXTJFPKTP"/>
        <s v="CH9GVYXKG0"/>
        <s v="0FJAHNAX400153"/>
        <s v="0FJAHNAX400160"/>
        <s v="LG3XTXTH3W"/>
        <s v="D35Q65FCJJ"/>
        <s v="MDY14Y6W9Y"/>
        <s v="HVWCL2XD61"/>
        <s v="JN4F710W06"/>
        <s v="0F76HNBX400019"/>
        <s v="407NTRL2W262"/>
        <s v="DHK4N6JGP7"/>
        <s v="KDGPJLY2W4"/>
        <s v="0F76HNBX500221"/>
        <s v="0F76HNBX400107"/>
        <s v="PF414D9C"/>
        <s v="G40QY3J5X7"/>
        <s v="FK7QTMQWT2"/>
        <s v="MFLWXT9L5Y"/>
        <s v="0F76HNBXA00291"/>
        <s v="0F76HNBXA00330"/>
        <s v="0F76HNBXA00555"/>
        <s v="0F76HNBXA00286"/>
        <s v="DLCPXHR267"/>
        <s v="0F76HNBXA00523"/>
        <s v="0F76HNBXA00329"/>
        <s v="DHNP4QDYYK"/>
        <s v="0F76HNBXA00298"/>
        <s v="0F76HNBXA00283"/>
        <s v="MVG67HWMQX"/>
        <s v="0F76HNBXA00296"/>
        <s v="0F76HNBXA00295"/>
        <s v="HK2YXDFTJ2"/>
        <s v="D2X09NP4N6"/>
        <s v="PF5E4YHF"/>
        <s v="PF5E6WFB"/>
        <s v="PF5EC269"/>
        <s v="PF5E7A2B"/>
        <s v="PF5EE152"/>
        <s v="F79V2K2MFX"/>
        <s v="LXY7W70NG6"/>
        <s v="D97K40K691"/>
        <s v="GCWJRV73L9"/>
        <s v="C3R29CJ3LT"/>
        <s v="DWFL63W2RC"/>
        <s v="F6V0X95M49"/>
        <s v="LYG5XW6R6Y"/>
        <s v="JDF9DWWW3N"/>
        <s v="GGJ9LX6F7T"/>
        <s v="JXPRW7M446"/>
        <s v="K16LNXRW5C"/>
        <s v="MVC7JLXHR7"/>
        <s v="FHL2W4FLW4"/>
        <s v="408NTLEDU376"/>
        <s v="SM2W09VPG3Q"/>
        <s v="JG3RG90Y4V"/>
        <s v="0UKAHNAXA00044"/>
        <s v="D9KWRJ67HT"/>
        <s v="DXGY1VHQ42"/>
        <s v="K1254XGJK0"/>
        <s v="GV7KXN2L7G"/>
        <s v="503NTCZ23867"/>
        <s v="C7X3Q6146H"/>
        <s v="0UKAHNAXA00111"/>
        <s v="506NTPCDU240"/>
        <s v="506NTBKDU213"/>
        <s v="MWQ9Y0GVCM"/>
        <s v="L9FJ21KGW4"/>
        <s v="0UKAHNAXA00162"/>
        <s v="GDCV7H073L"/>
        <s v="M1YCJX06RT"/>
        <s v="HP4H3CD46C"/>
        <s v="FF2NQ99WKJ"/>
        <s v="G006FTTLJD"/>
        <s v="GQ3002L3XV"/>
        <s v="0UKAHNAXA00131"/>
        <s v="PF5E75HQ"/>
        <s v="FQNNMQJK0M"/>
        <s v="408NTABDU384"/>
        <s v="JHKC459MQL"/>
        <s v="0UKAHNAXA00149"/>
        <s v="H7HVW5DYX9"/>
        <s v="GTK0CYN4N2"/>
        <s v="0UKAHNAXA00144"/>
        <s v="0UKAHNAXA00135"/>
        <s v="0F76HNBX400096"/>
        <s v="GG3YNJ2WC9"/>
        <s v="0UKAHNAXA00167"/>
        <s v="KN7PG752K9"/>
        <s v="LP4KK61X44"/>
        <s v="0UKAHNAXA00142"/>
        <s v="SJ32CQR32D7"/>
        <s v="KFP3FYGQ6R"/>
        <s v="M6Y4H4X706"/>
        <s v="J7P6PV3X45"/>
        <s v="PF5DQ9NX"/>
        <s v="MY60PWRXN6"/>
        <s v="SKR641T6WC7"/>
        <s v="SMVM22M7JN4"/>
        <s v="SF4WJG4Y50W"/>
        <s v="J94G63RGV4"/>
        <s v="0UKAHNAY800333"/>
        <s v="D2JYQDMCXP"/>
        <s v="0UKAHNAY800358"/>
        <s v="0UKAHNAY800351"/>
        <s v="K7G3N9CK2K"/>
        <s v="KK6D6D7JCF"/>
        <s v="HK67Y0HY9W"/>
        <s v="0UKAHNAY800341"/>
        <s v="0UKAHNAY800336"/>
        <s v="0UKAHNAY800349"/>
        <s v="0UKAHNAY800343"/>
        <s v="0UKAHNAY800340"/>
        <s v="0UKAHNAY800350"/>
        <s v="M09D1HPXD3"/>
        <s v="0UKAHNAY800342"/>
        <s v="0UKAHNAY800346"/>
        <s v="0UKAHNAY800353"/>
        <s v="0UKAHNAY800354"/>
        <s v="0UKAHNAY800356"/>
        <s v="0UKAHNAY800345"/>
        <s v="0UKAHNAY800258"/>
        <s v="0UKAHNAY800259"/>
        <s v="0UKAHNAY800257"/>
        <s v="0UKAHNAY800260"/>
        <s v="CYJ2XGYDTH"/>
        <s v="H9P2NGC2DG"/>
        <s v="GKXLTD3FY9"/>
        <s v="0UKAHNAY800355"/>
        <s v="M3X4L29GFN"/>
        <s v="KRRYWMHGWF"/>
        <s v="HTV2237KF6"/>
        <s v="HG34W9T6HK"/>
        <s v="0UKAHNY800337"/>
        <s v="F60WY39GP6"/>
        <s v="0UKAHNY800352"/>
        <s v="D591WFD6DW1"/>
        <s v="0UKAHNY800338"/>
        <s v="KJVF6XFXP0"/>
        <s v="0UKAHNY800335"/>
        <s v="0UXJHNBY701341"/>
        <s v="CNX3YYN242"/>
        <s v="0UKAHNAY800344"/>
        <s v="DX0007Q2"/>
        <s v="0UKAHNAY800339"/>
        <s v="JR7W4W9Q01"/>
        <s v="KH92YW1R3W"/>
        <s v="DX0008H9"/>
        <s v="DTH3WVQTW9"/>
        <s v="JJNYVDHJ79"/>
        <s v="0UKAHNAY800245"/>
        <s v="0UKAHNAY800323"/>
        <s v="0UKAHNAY800321"/>
        <s v="0UKAHNAY800322"/>
        <s v="JN371C6RWM"/>
        <s v="0UKAHNAY800325"/>
        <s v="DX000850"/>
        <s v="0UKAHNAY800327"/>
        <s v="5CD5357HBC"/>
        <s v="5CD5357H1Y"/>
        <s v="DX0006YQ"/>
        <s v="0UKAHNAY800329"/>
        <s v="0UXJHNBY900865"/>
        <s v="DX00084B"/>
        <s v="0UKAHNAY800324"/>
        <s v="HHHQF0QM9X"/>
        <s v="0UKAHNAY800320"/>
        <s v="F9T16J12J2"/>
        <s v="0UKAHNAY800332"/>
        <s v="MKJ2QLWD2V"/>
        <s v="0UKAHNAY800319"/>
        <s v="KDQV7157TT"/>
        <s v="0UKAHNAY800318"/>
        <s v="0UKCHNBY500182"/>
        <s v="H6DT4M9WDG"/>
        <s v="0UKAHNAY800269"/>
        <s v="L6QWM5GF2V"/>
        <s v="0UKAHNAY800326"/>
        <s v="DP9VT2Q5Q9"/>
        <s v="OUKAHNAYBOO2"/>
        <s v="0UKAHNAYA00049"/>
        <s v="0UKAHNAYA00014"/>
        <s v="OUKAHNAYAOOOSO"/>
        <s v="8CG5263955"/>
        <s v="8CG526394X"/>
        <s v="8CG52638Z2"/>
        <s v="D4JWHMWWYR"/>
        <s v="SGQYMP7H730"/>
        <s v="H070N2TVQ5"/>
        <s v="DKV37TJQPN"/>
        <s v="F606J0FWPK"/>
        <s v="HCWCXCXWR3"/>
        <s v="L7J56MH45R"/>
        <s v="K66FY0WY6V"/>
        <s v="DTP2HX47L1"/>
        <s v="H0Q7M4QTJG"/>
        <s v="DK9CFD9137"/>
        <s v="SG7QKWMWX0Q"/>
        <s v="J6D4GDY209"/>
        <s v="JDW5PFP6XL"/>
        <s v="SGGM2264604"/>
        <s v="SKJJT4TNVG0"/>
        <s v="GQPCV76Q6L"/>
        <s v="DJGF2KD7CH"/>
        <s v="XNCWRJV9X5"/>
        <s v="PF45WEEN"/>
        <s v="CND23122FX"/>
        <s v="PF3E191D"/>
        <s v="4UQMH4TT200747"/>
        <s v="4UQMH4TT200753"/>
      </sharedItems>
    </cacheField>
    <cacheField name="status" numFmtId="0">
      <sharedItems containsBlank="1" count="2">
        <m/>
        <s v="False "/>
      </sharedItems>
    </cacheField>
    <cacheField name="AssetCondition" numFmtId="0">
      <sharedItems containsNonDate="0" containsString="0" containsBlank="1"/>
    </cacheField>
    <cacheField name="Assignedto" numFmtId="0">
      <sharedItems containsNonDate="0" containsString="0" containsBlank="1"/>
    </cacheField>
    <cacheField name="CostoftheAsset" numFmtId="164">
      <sharedItems containsString="0" containsBlank="1" containsNumber="1" minValue="-190524" maxValue="1113844.48"/>
    </cacheField>
    <cacheField name="GST" numFmtId="164">
      <sharedItems containsString="0" containsBlank="1" containsNumber="1" minValue="-34294.32" maxValue="68588.639999999999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02.729660300924" createdVersion="8" refreshedVersion="8" minRefreshableVersion="3" recordCount="301" xr:uid="{62D4145D-3123-47B7-86BC-3AA6D77AB645}">
  <cacheSource type="worksheet">
    <worksheetSource ref="A1:G302" sheet="Serial No "/>
  </cacheSource>
  <cacheFields count="7">
    <cacheField name="#" numFmtId="0">
      <sharedItems containsSemiMixedTypes="0" containsString="0" containsNumber="1" containsInteger="1" minValue="1" maxValue="303"/>
    </cacheField>
    <cacheField name="UserName" numFmtId="0">
      <sharedItems containsBlank="1"/>
    </cacheField>
    <cacheField name="EmployeeID" numFmtId="0">
      <sharedItems containsBlank="1"/>
    </cacheField>
    <cacheField name="Email" numFmtId="0">
      <sharedItems containsBlank="1"/>
    </cacheField>
    <cacheField name="AssetType" numFmtId="0">
      <sharedItems containsBlank="1" count="6">
        <s v="Desktop"/>
        <s v="Keyboard"/>
        <s v="Laptop"/>
        <s v="Monitor"/>
        <s v="Mouse"/>
        <m/>
      </sharedItems>
    </cacheField>
    <cacheField name="SerialNumber" numFmtId="0">
      <sharedItems containsBlank="1"/>
    </cacheField>
    <cacheField name="Statu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1">
  <r>
    <n v="1"/>
    <s v="Computers"/>
    <x v="0"/>
    <s v="FutureWorldRetailPvtLtd"/>
    <s v="ST04212204448"/>
    <d v="2021-12-27T00:00:00"/>
    <d v="2021-12-27T00:00:00"/>
    <m/>
    <x v="0"/>
    <x v="0"/>
    <m/>
    <m/>
    <n v="227905"/>
    <m/>
    <s v="GSTAmountCapitalized"/>
  </r>
  <r>
    <n v="2"/>
    <s v="Computers"/>
    <x v="0"/>
    <s v="FutureWorldRetailPvtLtd"/>
    <s v="ST04212204562"/>
    <d v="2022-01-01T00:00:00"/>
    <d v="2022-01-01T00:00:00"/>
    <m/>
    <x v="1"/>
    <x v="0"/>
    <m/>
    <m/>
    <n v="227900"/>
    <m/>
    <s v="GSTAmountCapitalized"/>
  </r>
  <r>
    <n v="3"/>
    <s v="Computers"/>
    <x v="0"/>
    <s v="Amazon"/>
    <s v="MH-506959765-2122"/>
    <d v="2022-01-21T00:00:00"/>
    <d v="2022-01-21T00:00:00"/>
    <m/>
    <x v="2"/>
    <x v="1"/>
    <m/>
    <m/>
    <n v="87000"/>
    <m/>
    <s v="GSTAmountCapitalized"/>
  </r>
  <r>
    <n v="4"/>
    <s v="Computers"/>
    <x v="1"/>
    <s v="ConsultingRoomsPrivateLimited"/>
    <s v="FAFO7W2200248992"/>
    <d v="2022-01-22T00:00:00"/>
    <d v="2022-01-22T00:00:00"/>
    <m/>
    <x v="3"/>
    <x v="1"/>
    <m/>
    <m/>
    <n v="16103"/>
    <m/>
    <s v="GSTAmountCapitalized"/>
  </r>
  <r>
    <n v="5"/>
    <s v="Computers"/>
    <x v="0"/>
    <s v="RakeshTradingCompany"/>
    <s v="RTC2122G16007"/>
    <d v="2022-02-02T00:00:00"/>
    <d v="2022-02-02T00:00:00"/>
    <m/>
    <x v="4"/>
    <x v="1"/>
    <m/>
    <m/>
    <m/>
    <n v="33282.18"/>
    <s v="TotheattentionofArun"/>
  </r>
  <r>
    <n v="6"/>
    <s v="Computers"/>
    <x v="0"/>
    <s v="RakeshTradingCompany"/>
    <s v="RTC2122G16008"/>
    <d v="2022-02-02T00:00:00"/>
    <d v="2022-02-02T00:00:00"/>
    <m/>
    <x v="5"/>
    <x v="0"/>
    <m/>
    <m/>
    <m/>
    <n v="19379.88"/>
    <s v="TotheattentionofArun"/>
  </r>
  <r>
    <n v="7"/>
    <s v="Computers"/>
    <x v="0"/>
    <s v="RakeshTradingCompany"/>
    <s v="RTC2122G16295"/>
    <d v="2022-02-07T00:00:00"/>
    <d v="2022-02-07T00:00:00"/>
    <m/>
    <x v="6"/>
    <x v="1"/>
    <m/>
    <m/>
    <n v="1113844.48"/>
    <m/>
    <s v="GSTAmountCapitalized"/>
  </r>
  <r>
    <n v="8"/>
    <s v="Computers"/>
    <x v="0"/>
    <s v="RakeshTradingCompany"/>
    <s v="RTC2122G16295"/>
    <d v="2022-02-07T00:00:00"/>
    <d v="2022-02-07T00:00:00"/>
    <m/>
    <x v="7"/>
    <x v="1"/>
    <m/>
    <m/>
    <m/>
    <m/>
    <m/>
  </r>
  <r>
    <n v="9"/>
    <s v="Computers"/>
    <x v="0"/>
    <s v="RakeshTradingCompany"/>
    <s v="RTC2122G16295"/>
    <d v="2022-02-07T00:00:00"/>
    <d v="2022-02-07T00:00:00"/>
    <m/>
    <x v="8"/>
    <x v="1"/>
    <m/>
    <m/>
    <m/>
    <m/>
    <m/>
  </r>
  <r>
    <n v="10"/>
    <s v="Computers"/>
    <x v="0"/>
    <s v="RakeshTradingCompany"/>
    <s v="RTC2122G16295"/>
    <d v="2022-02-07T00:00:00"/>
    <d v="2022-02-07T00:00:00"/>
    <m/>
    <x v="9"/>
    <x v="1"/>
    <m/>
    <m/>
    <m/>
    <m/>
    <m/>
  </r>
  <r>
    <n v="11"/>
    <s v="Computers"/>
    <x v="0"/>
    <s v="RakeshTradingCompany"/>
    <s v="RTC2122G16295"/>
    <d v="2022-02-07T00:00:00"/>
    <d v="2022-02-07T00:00:00"/>
    <m/>
    <x v="10"/>
    <x v="1"/>
    <m/>
    <m/>
    <m/>
    <m/>
    <m/>
  </r>
  <r>
    <n v="12"/>
    <s v="Computers"/>
    <x v="0"/>
    <s v="RakeshTradingCompany"/>
    <s v="RTC2122G16295"/>
    <d v="2022-02-07T00:00:00"/>
    <d v="2022-02-07T00:00:00"/>
    <m/>
    <x v="11"/>
    <x v="0"/>
    <m/>
    <m/>
    <m/>
    <m/>
    <m/>
  </r>
  <r>
    <n v="13"/>
    <s v="Computers"/>
    <x v="0"/>
    <s v="RakeshTradingCompany"/>
    <s v="RTC2122G16296"/>
    <d v="2022-02-07T00:00:00"/>
    <d v="2022-02-07T00:00:00"/>
    <m/>
    <x v="12"/>
    <x v="1"/>
    <m/>
    <m/>
    <n v="215823"/>
    <m/>
    <s v="GSTAmountCapitalized"/>
  </r>
  <r>
    <n v="14"/>
    <s v="Computers"/>
    <x v="0"/>
    <s v="RakeshTradingCompany"/>
    <s v="RTC2122G17480"/>
    <d v="2022-02-25T00:00:00"/>
    <d v="2022-02-25T00:00:00"/>
    <m/>
    <x v="13"/>
    <x v="1"/>
    <m/>
    <m/>
    <n v="866832.72"/>
    <m/>
    <s v="GSTAmountCapitalized"/>
  </r>
  <r>
    <n v="15"/>
    <s v="Computers"/>
    <x v="0"/>
    <s v="RakeshTradingCompany"/>
    <s v="RTC2122G17480"/>
    <d v="2022-02-25T00:00:00"/>
    <d v="2022-02-25T00:00:00"/>
    <m/>
    <x v="14"/>
    <x v="1"/>
    <m/>
    <m/>
    <m/>
    <m/>
    <m/>
  </r>
  <r>
    <n v="16"/>
    <s v="Computers"/>
    <x v="0"/>
    <s v="RakeshTradingCompany"/>
    <s v="RTC2122G17480"/>
    <d v="2022-02-25T00:00:00"/>
    <d v="2022-02-25T00:00:00"/>
    <m/>
    <x v="15"/>
    <x v="1"/>
    <m/>
    <m/>
    <m/>
    <m/>
    <m/>
  </r>
  <r>
    <n v="17"/>
    <s v="Computers"/>
    <x v="0"/>
    <s v="RakeshTradingCompany"/>
    <s v="RTC2122G17480"/>
    <d v="2022-02-25T00:00:00"/>
    <d v="2022-02-25T00:00:00"/>
    <m/>
    <x v="16"/>
    <x v="0"/>
    <m/>
    <m/>
    <m/>
    <m/>
    <m/>
  </r>
  <r>
    <n v="18"/>
    <s v="Computers"/>
    <x v="1"/>
    <s v="RakeshTradingCompany"/>
    <s v="RTC2122G18813"/>
    <d v="2022-03-17T00:00:00"/>
    <d v="2022-03-17T00:00:00"/>
    <m/>
    <x v="17"/>
    <x v="1"/>
    <m/>
    <m/>
    <n v="34134"/>
    <n v="6144.12"/>
    <m/>
  </r>
  <r>
    <n v="19"/>
    <s v="Computers"/>
    <x v="1"/>
    <s v="RakeshTradingCompany"/>
    <s v="RTC2122G18813"/>
    <d v="2022-03-17T00:00:00"/>
    <d v="2022-03-17T00:00:00"/>
    <m/>
    <x v="18"/>
    <x v="1"/>
    <m/>
    <m/>
    <m/>
    <m/>
    <m/>
  </r>
  <r>
    <n v="20"/>
    <s v="Computers"/>
    <x v="1"/>
    <s v="RakeshTradingCompany"/>
    <s v="RTC2122G18814"/>
    <d v="2022-03-17T00:00:00"/>
    <d v="2022-03-17T00:00:00"/>
    <m/>
    <x v="19"/>
    <x v="1"/>
    <m/>
    <m/>
    <n v="34134"/>
    <n v="6144.12"/>
    <m/>
  </r>
  <r>
    <n v="21"/>
    <s v="Computers"/>
    <x v="1"/>
    <s v="RakeshTradingCompany"/>
    <s v="RTC2122G18814"/>
    <d v="2022-03-17T00:00:00"/>
    <d v="2022-03-17T00:00:00"/>
    <m/>
    <x v="20"/>
    <x v="1"/>
    <m/>
    <m/>
    <m/>
    <m/>
    <m/>
  </r>
  <r>
    <n v="22"/>
    <s v="Computers"/>
    <x v="1"/>
    <s v="RakeshTradingCompany"/>
    <s v="RTC2122G18815"/>
    <d v="2022-03-17T00:00:00"/>
    <d v="2022-03-17T00:00:00"/>
    <m/>
    <x v="21"/>
    <x v="1"/>
    <m/>
    <m/>
    <n v="34134"/>
    <n v="6144.12"/>
    <m/>
  </r>
  <r>
    <n v="23"/>
    <s v="Computers"/>
    <x v="1"/>
    <s v="RakeshTradingCompany"/>
    <s v="RTC2122G18815"/>
    <d v="2022-03-17T00:00:00"/>
    <d v="2022-03-17T00:00:00"/>
    <m/>
    <x v="22"/>
    <x v="1"/>
    <m/>
    <m/>
    <m/>
    <m/>
    <m/>
  </r>
  <r>
    <n v="24"/>
    <s v="Computers"/>
    <x v="1"/>
    <s v="RakeshTradingCompany"/>
    <s v="RTC2122G18817"/>
    <d v="2022-03-17T00:00:00"/>
    <d v="2022-03-17T00:00:00"/>
    <m/>
    <x v="23"/>
    <x v="0"/>
    <m/>
    <m/>
    <n v="17067"/>
    <n v="3072.06"/>
    <m/>
  </r>
  <r>
    <n v="25"/>
    <s v="Computers"/>
    <x v="1"/>
    <s v="RakeshTradingCompany"/>
    <s v="RTC2122G18976"/>
    <d v="2022-03-21T00:00:00"/>
    <d v="2022-03-21T00:00:00"/>
    <m/>
    <x v="24"/>
    <x v="1"/>
    <m/>
    <m/>
    <n v="17067"/>
    <n v="3072.06"/>
    <m/>
  </r>
  <r>
    <n v="26"/>
    <s v="Computers"/>
    <x v="0"/>
    <s v="RakeshTradingCompany"/>
    <s v="RTC2122G18976"/>
    <d v="2022-03-21T00:00:00"/>
    <d v="2022-03-21T00:00:00"/>
    <m/>
    <x v="25"/>
    <x v="0"/>
    <m/>
    <m/>
    <n v="182901"/>
    <n v="32922.18"/>
    <m/>
  </r>
  <r>
    <n v="27"/>
    <s v="Computers"/>
    <x v="1"/>
    <s v="RakeshTradingCompany"/>
    <s v="RTC2223G3761"/>
    <d v="2022-07-01T00:00:00"/>
    <d v="2022-06-03T00:00:00"/>
    <m/>
    <x v="26"/>
    <x v="1"/>
    <m/>
    <m/>
    <n v="34134"/>
    <n v="6144.12"/>
    <m/>
  </r>
  <r>
    <n v="28"/>
    <s v="Computers"/>
    <x v="1"/>
    <s v="RakeshTradingCompany"/>
    <s v="RTC2223G3761"/>
    <d v="2022-07-01T00:00:00"/>
    <d v="2022-06-03T00:00:00"/>
    <m/>
    <x v="27"/>
    <x v="1"/>
    <m/>
    <m/>
    <m/>
    <m/>
    <m/>
  </r>
  <r>
    <n v="29"/>
    <s v="Computers"/>
    <x v="1"/>
    <s v="RakeshTradingCompany"/>
    <s v="RTC2223G3760"/>
    <d v="2022-07-01T00:00:00"/>
    <d v="2022-06-03T00:00:00"/>
    <m/>
    <x v="28"/>
    <x v="0"/>
    <m/>
    <m/>
    <n v="17067"/>
    <n v="3072.06"/>
    <m/>
  </r>
  <r>
    <n v="30"/>
    <s v="Computers"/>
    <x v="1"/>
    <s v="RakeshTradingCompany"/>
    <s v="RTC2223G10129"/>
    <d v="2022-09-03T00:00:00"/>
    <d v="2022-09-07T00:00:00"/>
    <m/>
    <x v="29"/>
    <x v="0"/>
    <m/>
    <m/>
    <n v="17067"/>
    <n v="3072.06"/>
    <m/>
  </r>
  <r>
    <n v="31"/>
    <s v="Computers"/>
    <x v="0"/>
    <s v="RakeshTradingCompany"/>
    <s v="RTC2223G10129"/>
    <d v="2022-09-03T00:00:00"/>
    <d v="2022-09-07T00:00:00"/>
    <m/>
    <x v="30"/>
    <x v="1"/>
    <m/>
    <m/>
    <n v="182901"/>
    <n v="32922.18"/>
    <m/>
  </r>
  <r>
    <n v="32"/>
    <s v="Computers"/>
    <x v="0"/>
    <s v="RakeshTradingCompany"/>
    <s v="RTC2223G12454"/>
    <d v="2022-10-18T00:00:00"/>
    <d v="2022-10-18T00:00:00"/>
    <m/>
    <x v="31"/>
    <x v="0"/>
    <m/>
    <m/>
    <n v="182901"/>
    <n v="32922.18"/>
    <m/>
  </r>
  <r>
    <n v="33"/>
    <s v="Computers"/>
    <x v="0"/>
    <s v="RakeshTradingCompany"/>
    <s v="RTC2223G12450"/>
    <d v="2022-10-18T00:00:00"/>
    <d v="2022-10-18T00:00:00"/>
    <m/>
    <x v="32"/>
    <x v="1"/>
    <m/>
    <m/>
    <n v="182901"/>
    <n v="32922.18"/>
    <m/>
  </r>
  <r>
    <n v="34"/>
    <s v="Computers"/>
    <x v="1"/>
    <s v="RakeshTradingCompany"/>
    <s v="RTC2223G14490"/>
    <d v="2022-11-24T00:00:00"/>
    <d v="2022-11-24T00:00:00"/>
    <m/>
    <x v="33"/>
    <x v="1"/>
    <m/>
    <m/>
    <n v="17067"/>
    <n v="3072.06"/>
    <m/>
  </r>
  <r>
    <n v="35"/>
    <s v="Computers"/>
    <x v="1"/>
    <s v="RakeshTradingCompany"/>
    <s v="RTC223G14489"/>
    <d v="2022-11-24T00:00:00"/>
    <d v="2022-11-24T00:00:00"/>
    <m/>
    <x v="34"/>
    <x v="1"/>
    <m/>
    <m/>
    <n v="34134"/>
    <n v="6144.12"/>
    <m/>
  </r>
  <r>
    <n v="36"/>
    <s v="Computers"/>
    <x v="1"/>
    <s v="RakeshTradingCompany"/>
    <s v="RTC223G14489"/>
    <d v="2022-11-24T00:00:00"/>
    <d v="2022-11-24T00:00:00"/>
    <m/>
    <x v="35"/>
    <x v="1"/>
    <m/>
    <m/>
    <m/>
    <m/>
    <m/>
  </r>
  <r>
    <n v="37"/>
    <s v="Computers"/>
    <x v="1"/>
    <s v="RakeshTradingCompany"/>
    <s v="RTC2223G14680"/>
    <d v="2022-11-28T00:00:00"/>
    <d v="2022-11-28T00:00:00"/>
    <m/>
    <x v="36"/>
    <x v="1"/>
    <m/>
    <m/>
    <n v="182901"/>
    <n v="32922.18"/>
    <m/>
  </r>
  <r>
    <n v="38"/>
    <s v="Computers"/>
    <x v="0"/>
    <s v="RakeshTradingCompany"/>
    <s v="RTC2223G14680"/>
    <d v="2022-11-28T00:00:00"/>
    <d v="2022-11-28T00:00:00"/>
    <m/>
    <x v="37"/>
    <x v="0"/>
    <m/>
    <m/>
    <n v="34134"/>
    <n v="6144.12"/>
    <m/>
  </r>
  <r>
    <n v="39"/>
    <s v="Computers"/>
    <x v="0"/>
    <s v="RakeshTradingCompany"/>
    <s v="RTC2223G14680"/>
    <d v="2022-11-28T00:00:00"/>
    <d v="2022-11-28T00:00:00"/>
    <m/>
    <x v="38"/>
    <x v="0"/>
    <m/>
    <m/>
    <m/>
    <m/>
    <m/>
  </r>
  <r>
    <n v="40"/>
    <s v="Computers"/>
    <x v="0"/>
    <s v="RakeshTradingCompany"/>
    <s v="12/054"/>
    <d v="2022-12-07T00:00:00"/>
    <d v="2022-12-07T00:00:00"/>
    <m/>
    <x v="39"/>
    <x v="0"/>
    <m/>
    <m/>
    <n v="101350"/>
    <n v="18243"/>
    <s v="ProformaInvoice"/>
  </r>
  <r>
    <n v="41"/>
    <s v="Computers"/>
    <x v="0"/>
    <s v="RakeshTradingCompany"/>
    <s v="12/054"/>
    <d v="2022-12-07T00:00:00"/>
    <d v="2022-12-07T00:00:00"/>
    <m/>
    <x v="40"/>
    <x v="0"/>
    <m/>
    <m/>
    <n v="122000"/>
    <n v="21960"/>
    <s v="ProformaInvoice"/>
  </r>
  <r>
    <n v="42"/>
    <s v="Computers"/>
    <x v="0"/>
    <s v="RakeshTradingCompany"/>
    <s v="12/054"/>
    <d v="2022-12-07T00:00:00"/>
    <d v="2023-03-30T00:00:00"/>
    <m/>
    <x v="41"/>
    <x v="0"/>
    <m/>
    <m/>
    <n v="14800"/>
    <n v="2664"/>
    <s v="ProformaInvoice"/>
  </r>
  <r>
    <n v="43"/>
    <s v="Computers"/>
    <x v="1"/>
    <s v="RakeshTradingCompany"/>
    <s v="12/054"/>
    <d v="2022-12-07T00:00:00"/>
    <d v="2023-03-30T00:00:00"/>
    <m/>
    <x v="42"/>
    <x v="0"/>
    <m/>
    <m/>
    <n v="34134"/>
    <n v="6144.12"/>
    <s v="ProformaInvoice"/>
  </r>
  <r>
    <n v="44"/>
    <s v="Computers"/>
    <x v="0"/>
    <s v="RakeshTradingCompany"/>
    <s v="RTC2223G16084"/>
    <d v="2022-12-23T00:00:00"/>
    <d v="2022-12-23T00:00:00"/>
    <m/>
    <x v="43"/>
    <x v="1"/>
    <m/>
    <m/>
    <n v="182901"/>
    <n v="32922.18"/>
    <m/>
  </r>
  <r>
    <n v="45"/>
    <s v="Computers"/>
    <x v="0"/>
    <s v="RakeshTradingCompany"/>
    <s v="RTC2223G16291"/>
    <d v="2023-01-02T00:00:00"/>
    <d v="2023-01-02T00:00:00"/>
    <m/>
    <x v="44"/>
    <x v="1"/>
    <m/>
    <m/>
    <n v="182901"/>
    <n v="32922.18"/>
    <m/>
  </r>
  <r>
    <n v="46"/>
    <s v="Computers"/>
    <x v="2"/>
    <s v="RakeshTradingCompany"/>
    <s v="RTC2223G17053"/>
    <d v="2023-01-17T00:00:00"/>
    <d v="2023-01-11T00:00:00"/>
    <m/>
    <x v="45"/>
    <x v="0"/>
    <m/>
    <m/>
    <n v="17067"/>
    <n v="3072.06"/>
    <m/>
  </r>
  <r>
    <n v="47"/>
    <s v="Computers"/>
    <x v="0"/>
    <s v="RakeshTradingCompany"/>
    <s v="RTC2223G20853"/>
    <d v="2023-03-29T00:00:00"/>
    <d v="2023-03-30T00:00:00"/>
    <m/>
    <x v="46"/>
    <x v="1"/>
    <m/>
    <m/>
    <n v="176430"/>
    <n v="31757.399999999998"/>
    <m/>
  </r>
  <r>
    <n v="48"/>
    <s v="Computers"/>
    <x v="0"/>
    <s v="RakeshTradingCompany"/>
    <s v="RTC2223G20854"/>
    <d v="2023-03-29T00:00:00"/>
    <d v="2023-03-30T00:00:00"/>
    <m/>
    <x v="47"/>
    <x v="1"/>
    <m/>
    <m/>
    <n v="116500"/>
    <n v="20970"/>
    <m/>
  </r>
  <r>
    <n v="49"/>
    <s v="Computers"/>
    <x v="0"/>
    <s v="RakeshTradingCompany"/>
    <s v="RTC2324G1321"/>
    <d v="2023-04-26T00:00:00"/>
    <d v="2023-04-26T00:00:00"/>
    <m/>
    <x v="48"/>
    <x v="1"/>
    <m/>
    <m/>
    <n v="116500"/>
    <n v="20970"/>
    <m/>
  </r>
  <r>
    <n v="50"/>
    <s v="Computers"/>
    <x v="2"/>
    <s v="RakeshTradingCompany"/>
    <s v="RTC2324G1307"/>
    <d v="2023-04-26T00:00:00"/>
    <d v="2023-04-26T00:00:00"/>
    <m/>
    <x v="49"/>
    <x v="1"/>
    <m/>
    <m/>
    <n v="34134"/>
    <n v="6144.12"/>
    <m/>
  </r>
  <r>
    <n v="51"/>
    <s v="Computers"/>
    <x v="2"/>
    <s v="RakeshTradingCompany"/>
    <s v="RTC2324G1307"/>
    <d v="2023-04-26T00:00:00"/>
    <d v="2023-04-26T00:00:00"/>
    <m/>
    <x v="50"/>
    <x v="1"/>
    <m/>
    <m/>
    <m/>
    <m/>
    <m/>
  </r>
  <r>
    <n v="52"/>
    <s v="Computers"/>
    <x v="0"/>
    <s v="RakeshTradingCompany"/>
    <s v="RTC2324G1320"/>
    <d v="2023-04-26T00:00:00"/>
    <d v="2023-04-26T00:00:00"/>
    <m/>
    <x v="51"/>
    <x v="1"/>
    <m/>
    <m/>
    <n v="116500"/>
    <n v="20970"/>
    <m/>
  </r>
  <r>
    <n v="53"/>
    <s v="Computers"/>
    <x v="0"/>
    <s v="RakeshTradingCompany"/>
    <s v="RTC2324G2572"/>
    <d v="2023-05-20T00:00:00"/>
    <d v="2023-05-20T00:00:00"/>
    <m/>
    <x v="52"/>
    <x v="1"/>
    <m/>
    <m/>
    <n v="155000"/>
    <n v="27900"/>
    <m/>
  </r>
  <r>
    <n v="54"/>
    <s v="Computers"/>
    <x v="0"/>
    <s v="RakeshTradingCompany"/>
    <s v="RTC2324G2932"/>
    <d v="2023-05-27T00:00:00"/>
    <d v="2023-05-27T00:00:00"/>
    <m/>
    <x v="53"/>
    <x v="1"/>
    <m/>
    <m/>
    <n v="190524"/>
    <n v="34294.32"/>
    <m/>
  </r>
  <r>
    <n v="55"/>
    <s v="Computers"/>
    <x v="1"/>
    <s v="RakeshTradingCompany"/>
    <s v="RTC2324G2932"/>
    <d v="2023-05-27T00:00:00"/>
    <d v="2023-05-27T00:00:00"/>
    <m/>
    <x v="54"/>
    <x v="0"/>
    <m/>
    <m/>
    <n v="34134"/>
    <n v="6144.12"/>
    <m/>
  </r>
  <r>
    <n v="56"/>
    <s v="Computers"/>
    <x v="1"/>
    <s v="RakeshTradingCompany"/>
    <s v="RTC2324G2932"/>
    <d v="2023-05-27T00:00:00"/>
    <d v="2023-05-27T00:00:00"/>
    <m/>
    <x v="55"/>
    <x v="0"/>
    <m/>
    <m/>
    <m/>
    <m/>
    <m/>
  </r>
  <r>
    <n v="57"/>
    <s v="Computers"/>
    <x v="1"/>
    <s v="RakeshTradingCompany"/>
    <s v="RTC2324G4372"/>
    <d v="2023-06-23T00:00:00"/>
    <d v="2023-06-23T00:00:00"/>
    <m/>
    <x v="56"/>
    <x v="1"/>
    <m/>
    <m/>
    <n v="34134"/>
    <n v="6144.12"/>
    <m/>
  </r>
  <r>
    <n v="58"/>
    <s v="Computers"/>
    <x v="1"/>
    <s v="RakeshTradingCompany"/>
    <s v="RTC2324G4372"/>
    <d v="2023-06-23T00:00:00"/>
    <d v="2023-06-23T00:00:00"/>
    <m/>
    <x v="57"/>
    <x v="1"/>
    <m/>
    <m/>
    <m/>
    <m/>
    <m/>
  </r>
  <r>
    <n v="59"/>
    <s v="Computers"/>
    <x v="0"/>
    <s v="RakeshTradingCompany"/>
    <s v="RTC2324G4688"/>
    <d v="2023-06-30T00:00:00"/>
    <d v="2023-06-30T00:00:00"/>
    <m/>
    <x v="58"/>
    <x v="1"/>
    <m/>
    <m/>
    <n v="105500"/>
    <n v="18990"/>
    <m/>
  </r>
  <r>
    <n v="60"/>
    <s v="Computers"/>
    <x v="0"/>
    <s v="RakeshTradingCompany"/>
    <s v="RTC2324G5306"/>
    <d v="2023-07-11T00:00:00"/>
    <d v="2023-07-12T00:00:00"/>
    <m/>
    <x v="59"/>
    <x v="1"/>
    <m/>
    <m/>
    <n v="190524"/>
    <n v="34294.32"/>
    <m/>
  </r>
  <r>
    <n v="61"/>
    <s v="Computers"/>
    <x v="2"/>
    <s v="RakeshTradingCompany"/>
    <s v="RTC2324G5306"/>
    <d v="2023-07-11T00:00:00"/>
    <d v="2023-07-12T00:00:00"/>
    <m/>
    <x v="60"/>
    <x v="1"/>
    <m/>
    <m/>
    <n v="17067"/>
    <n v="3072.06"/>
    <m/>
  </r>
  <r>
    <n v="62"/>
    <s v="Computers"/>
    <x v="0"/>
    <s v="RakeshTradingCompany"/>
    <s v="RTC2324G6178"/>
    <d v="2023-07-27T00:00:00"/>
    <d v="2023-07-27T00:00:00"/>
    <m/>
    <x v="61"/>
    <x v="0"/>
    <m/>
    <m/>
    <n v="190524"/>
    <n v="34294.32"/>
    <m/>
  </r>
  <r>
    <n v="63"/>
    <s v="Computers"/>
    <x v="2"/>
    <s v="RakeshTradingCompany"/>
    <s v="RTC2324G6179"/>
    <d v="2023-07-27T00:00:00"/>
    <d v="2023-07-27T00:00:00"/>
    <m/>
    <x v="62"/>
    <x v="1"/>
    <m/>
    <m/>
    <n v="17067"/>
    <n v="3072.06"/>
    <m/>
  </r>
  <r>
    <n v="64"/>
    <s v="Computers"/>
    <x v="2"/>
    <s v="RakeshTradingCompany"/>
    <s v="RTC2324G8007"/>
    <d v="2023-08-30T00:00:00"/>
    <d v="2023-08-30T00:00:00"/>
    <m/>
    <x v="63"/>
    <x v="1"/>
    <m/>
    <m/>
    <n v="17067"/>
    <n v="3072.06"/>
    <m/>
  </r>
  <r>
    <n v="65"/>
    <s v="Computers"/>
    <x v="2"/>
    <s v="RakeshTradingCompany"/>
    <s v="RTC2324G8006"/>
    <d v="2023-08-30T00:00:00"/>
    <d v="2023-08-30T00:00:00"/>
    <m/>
    <x v="64"/>
    <x v="0"/>
    <m/>
    <m/>
    <n v="17067"/>
    <n v="3072.06"/>
    <m/>
  </r>
  <r>
    <n v="66"/>
    <s v="Computers"/>
    <x v="0"/>
    <s v="RakeshTradingCompany"/>
    <s v="RTC2324G8148"/>
    <d v="2023-08-30T00:00:00"/>
    <d v="2023-09-01T00:00:00"/>
    <m/>
    <x v="65"/>
    <x v="1"/>
    <m/>
    <m/>
    <n v="105500"/>
    <n v="18990"/>
    <m/>
  </r>
  <r>
    <n v="67"/>
    <s v="Computers"/>
    <x v="2"/>
    <s v="RakeshTradingCompany"/>
    <s v="RTC2324G8148"/>
    <d v="2023-08-30T00:00:00"/>
    <d v="2023-09-01T00:00:00"/>
    <m/>
    <x v="66"/>
    <x v="1"/>
    <m/>
    <m/>
    <n v="17067"/>
    <n v="3072.06"/>
    <m/>
  </r>
  <r>
    <n v="68"/>
    <s v="Computers"/>
    <x v="0"/>
    <s v="RakeshTradingCompany"/>
    <s v="RTC2324G10293"/>
    <d v="2023-10-11T00:00:00"/>
    <d v="2023-10-11T00:00:00"/>
    <m/>
    <x v="67"/>
    <x v="1"/>
    <m/>
    <m/>
    <n v="190524"/>
    <n v="34294.32"/>
    <m/>
  </r>
  <r>
    <n v="69"/>
    <s v="Computers"/>
    <x v="0"/>
    <s v="RakeshTradingCompany"/>
    <s v="RTC2324G11998"/>
    <d v="2023-11-15T00:00:00"/>
    <d v="2023-11-15T00:00:00"/>
    <m/>
    <x v="68"/>
    <x v="0"/>
    <m/>
    <m/>
    <n v="190524"/>
    <n v="34294.32"/>
    <m/>
  </r>
  <r>
    <n v="70"/>
    <s v="Computers"/>
    <x v="0"/>
    <s v="RakeshTradingCompany"/>
    <s v="RTC2324G12023"/>
    <d v="2023-11-15T00:00:00"/>
    <d v="2023-11-15T00:00:00"/>
    <m/>
    <x v="69"/>
    <x v="0"/>
    <m/>
    <m/>
    <n v="88000"/>
    <n v="15840"/>
    <m/>
  </r>
  <r>
    <n v="71"/>
    <s v="Computers"/>
    <x v="2"/>
    <s v="RakeshTradingCompany"/>
    <s v="RTC2324G12023"/>
    <d v="2023-11-15T00:00:00"/>
    <d v="2023-11-15T00:00:00"/>
    <m/>
    <x v="70"/>
    <x v="0"/>
    <m/>
    <m/>
    <n v="17067"/>
    <n v="3072.06"/>
    <m/>
  </r>
  <r>
    <n v="72"/>
    <s v="Computers"/>
    <x v="0"/>
    <s v="AptronixECRChennai"/>
    <s v="ECRTI/2324/1624"/>
    <d v="2024-01-01T00:00:00"/>
    <d v="2024-01-01T00:00:00"/>
    <m/>
    <x v="71"/>
    <x v="1"/>
    <m/>
    <m/>
    <n v="90556.78"/>
    <n v="16300.220399999998"/>
    <m/>
  </r>
  <r>
    <n v="73"/>
    <s v="Computers"/>
    <x v="2"/>
    <s v="RakeshTradingCompany"/>
    <s v="RTC2324G13437"/>
    <d v="2024-02-01T00:00:00"/>
    <d v="2023-12-14T00:00:00"/>
    <m/>
    <x v="72"/>
    <x v="1"/>
    <m/>
    <m/>
    <n v="17067"/>
    <n v="3072.06"/>
    <m/>
  </r>
  <r>
    <n v="74"/>
    <s v="Computers"/>
    <x v="2"/>
    <s v="RakeshTradingCompany"/>
    <s v="RTC2324G13438"/>
    <d v="2024-02-01T00:00:00"/>
    <d v="2023-12-14T00:00:00"/>
    <m/>
    <x v="73"/>
    <x v="1"/>
    <m/>
    <m/>
    <n v="17067"/>
    <n v="3072.06"/>
    <m/>
  </r>
  <r>
    <n v="75"/>
    <s v="Computers"/>
    <x v="0"/>
    <s v="RakeshTradingCompany"/>
    <s v="RTC2324G15809"/>
    <d v="2024-02-08T00:00:00"/>
    <d v="2024-02-08T00:00:00"/>
    <m/>
    <x v="74"/>
    <x v="1"/>
    <m/>
    <m/>
    <n v="80000"/>
    <n v="14400"/>
    <m/>
  </r>
  <r>
    <n v="76"/>
    <s v="Computers"/>
    <x v="0"/>
    <s v="RakeshTradingCompany"/>
    <s v="RTC2324G15810"/>
    <d v="2024-02-08T00:00:00"/>
    <d v="2024-02-08T00:00:00"/>
    <m/>
    <x v="75"/>
    <x v="1"/>
    <m/>
    <m/>
    <n v="80000"/>
    <n v="14400"/>
    <m/>
  </r>
  <r>
    <n v="77"/>
    <s v="Computers"/>
    <x v="0"/>
    <s v="RakeshTradingCompany"/>
    <s v="RTC2324G15808"/>
    <d v="2024-02-08T00:00:00"/>
    <d v="2024-02-08T00:00:00"/>
    <m/>
    <x v="76"/>
    <x v="1"/>
    <m/>
    <m/>
    <n v="80000"/>
    <n v="14400"/>
    <m/>
  </r>
  <r>
    <n v="78"/>
    <s v="Computers"/>
    <x v="0"/>
    <s v="RakeshTradingCompany"/>
    <s v="RTC23254G155807"/>
    <d v="2024-02-08T00:00:00"/>
    <d v="2024-02-08T00:00:00"/>
    <m/>
    <x v="77"/>
    <x v="1"/>
    <m/>
    <m/>
    <n v="80000"/>
    <n v="14400"/>
    <m/>
  </r>
  <r>
    <n v="79"/>
    <s v="Computers"/>
    <x v="0"/>
    <s v="RakeshTradingCompany"/>
    <s v="RTC2324G15806"/>
    <d v="2024-02-08T00:00:00"/>
    <d v="2024-02-08T00:00:00"/>
    <m/>
    <x v="78"/>
    <x v="1"/>
    <m/>
    <m/>
    <n v="80000"/>
    <n v="14400"/>
    <m/>
  </r>
  <r>
    <n v="80"/>
    <s v="Computers"/>
    <x v="0"/>
    <s v="RakeshTradingCompany"/>
    <s v="RTC2324G16824"/>
    <d v="2024-03-01T00:00:00"/>
    <d v="2024-03-01T00:00:00"/>
    <m/>
    <x v="79"/>
    <x v="0"/>
    <m/>
    <m/>
    <n v="190524"/>
    <n v="34294.32"/>
    <m/>
  </r>
  <r>
    <n v="81"/>
    <s v="Computers"/>
    <x v="0"/>
    <s v="RakeshTradingCompany"/>
    <s v="RTC2324G14882"/>
    <d v="2024-03-01T00:00:00"/>
    <d v="2024-01-19T00:00:00"/>
    <m/>
    <x v="80"/>
    <x v="0"/>
    <m/>
    <m/>
    <n v="80000"/>
    <n v="14400"/>
    <m/>
  </r>
  <r>
    <n v="82"/>
    <s v="Computers"/>
    <x v="0"/>
    <s v="RakeshTradingCompany"/>
    <s v="RTC2324G14644"/>
    <d v="2024-03-01T00:00:00"/>
    <d v="2024-01-13T00:00:00"/>
    <m/>
    <x v="81"/>
    <x v="0"/>
    <m/>
    <m/>
    <n v="190524"/>
    <n v="34294.32"/>
    <m/>
  </r>
  <r>
    <n v="83"/>
    <s v="Computers"/>
    <x v="2"/>
    <s v="RakeshTradingCompany"/>
    <s v="RTC2324G14644"/>
    <d v="2024-03-01T00:00:00"/>
    <d v="2024-01-13T00:00:00"/>
    <m/>
    <x v="82"/>
    <x v="1"/>
    <m/>
    <m/>
    <n v="17067"/>
    <n v="3072.06"/>
    <m/>
  </r>
  <r>
    <n v="84"/>
    <s v="Computers"/>
    <x v="2"/>
    <s v="RakeshTradingCompany"/>
    <s v="RTC2324G16960"/>
    <d v="2024-03-05T00:00:00"/>
    <d v="2024-03-05T00:00:00"/>
    <m/>
    <x v="83"/>
    <x v="1"/>
    <m/>
    <m/>
    <n v="17067"/>
    <n v="3072.06"/>
    <m/>
  </r>
  <r>
    <n v="85"/>
    <s v="Computers"/>
    <x v="0"/>
    <s v="RakeshTradingCompany"/>
    <s v="RTC2324G17315"/>
    <d v="2024-03-11T00:00:00"/>
    <d v="2024-03-11T00:00:00"/>
    <m/>
    <x v="84"/>
    <x v="1"/>
    <m/>
    <m/>
    <n v="190524"/>
    <n v="34294.32"/>
    <m/>
  </r>
  <r>
    <n v="86"/>
    <s v="Computers"/>
    <x v="2"/>
    <s v="RakeshTradingCompany"/>
    <s v="RTC2324G17315"/>
    <d v="2024-03-11T00:00:00"/>
    <d v="2024-03-11T00:00:00"/>
    <m/>
    <x v="85"/>
    <x v="1"/>
    <m/>
    <m/>
    <n v="34134"/>
    <n v="6144.12"/>
    <m/>
  </r>
  <r>
    <n v="87"/>
    <s v="Computers"/>
    <x v="2"/>
    <s v="RakeshTradingCompany"/>
    <s v="RTC2324G17315"/>
    <d v="2024-03-11T00:00:00"/>
    <d v="2024-03-11T00:00:00"/>
    <m/>
    <x v="86"/>
    <x v="1"/>
    <m/>
    <m/>
    <m/>
    <m/>
    <m/>
  </r>
  <r>
    <n v="88"/>
    <s v="Computers"/>
    <x v="0"/>
    <s v="RakeshTradingCompany"/>
    <s v="RTC2324G17946"/>
    <d v="2024-03-22T00:00:00"/>
    <d v="2024-03-22T00:00:00"/>
    <m/>
    <x v="87"/>
    <x v="1"/>
    <m/>
    <m/>
    <n v="190524"/>
    <n v="34294.32"/>
    <m/>
  </r>
  <r>
    <n v="89"/>
    <s v="Computers"/>
    <x v="2"/>
    <s v="RakeshTradingCompany"/>
    <s v="RTC2324G17946"/>
    <d v="2024-03-22T00:00:00"/>
    <d v="2024-03-22T00:00:00"/>
    <m/>
    <x v="88"/>
    <x v="1"/>
    <m/>
    <m/>
    <n v="17067"/>
    <n v="3072.06"/>
    <m/>
  </r>
  <r>
    <n v="90"/>
    <s v="Computers"/>
    <x v="0"/>
    <s v="RakeshTradingCompany"/>
    <s v="RTC2425G178"/>
    <d v="2024-04-03T00:00:00"/>
    <d v="2024-04-03T00:00:00"/>
    <m/>
    <x v="89"/>
    <x v="0"/>
    <m/>
    <m/>
    <n v="190524"/>
    <n v="34294.32"/>
    <m/>
  </r>
  <r>
    <n v="91"/>
    <s v="Computers"/>
    <x v="2"/>
    <s v="RakeshTradingCompany"/>
    <s v="RTC2425G178"/>
    <d v="2024-04-03T00:00:00"/>
    <d v="2024-04-03T00:00:00"/>
    <m/>
    <x v="90"/>
    <x v="1"/>
    <m/>
    <m/>
    <n v="17067"/>
    <n v="3072.06"/>
    <m/>
  </r>
  <r>
    <n v="92"/>
    <s v="Computers"/>
    <x v="0"/>
    <s v="RakeshTradingCompany"/>
    <s v="RTC2425G180"/>
    <d v="2024-04-03T00:00:00"/>
    <d v="2024-04-03T00:00:00"/>
    <m/>
    <x v="91"/>
    <x v="0"/>
    <m/>
    <m/>
    <n v="190524"/>
    <n v="34294.32"/>
    <m/>
  </r>
  <r>
    <n v="93"/>
    <s v="Computers"/>
    <x v="2"/>
    <s v="RakeshTradingCompany"/>
    <s v="RTC2425G180"/>
    <d v="2024-04-03T00:00:00"/>
    <d v="2024-04-03T00:00:00"/>
    <m/>
    <x v="92"/>
    <x v="0"/>
    <m/>
    <m/>
    <n v="17067"/>
    <n v="3072.06"/>
    <m/>
  </r>
  <r>
    <n v="94"/>
    <s v="Computers"/>
    <x v="0"/>
    <s v="RakeshTradingCompany"/>
    <s v="RTC2425G179"/>
    <d v="2024-04-03T00:00:00"/>
    <d v="2024-04-03T00:00:00"/>
    <m/>
    <x v="93"/>
    <x v="1"/>
    <m/>
    <m/>
    <n v="190524"/>
    <n v="34294.32"/>
    <m/>
  </r>
  <r>
    <n v="95"/>
    <s v="Computers"/>
    <x v="2"/>
    <s v="RakeshTradingCompany"/>
    <s v="RTC2425G179"/>
    <d v="2024-04-03T00:00:00"/>
    <d v="2024-04-03T00:00:00"/>
    <m/>
    <x v="94"/>
    <x v="1"/>
    <m/>
    <m/>
    <n v="17067"/>
    <n v="3072.06"/>
    <m/>
  </r>
  <r>
    <n v="96"/>
    <s v="Computers"/>
    <x v="0"/>
    <s v="RakeshTradingCompany"/>
    <s v="RTC2425G246"/>
    <d v="2024-04-04T00:00:00"/>
    <d v="2024-04-04T00:00:00"/>
    <m/>
    <x v="95"/>
    <x v="1"/>
    <m/>
    <m/>
    <n v="148360"/>
    <n v="26704.799999999999"/>
    <m/>
  </r>
  <r>
    <n v="97"/>
    <s v="Computers"/>
    <x v="0"/>
    <s v="RakeshTradingCompany"/>
    <s v="RTC2425G987"/>
    <d v="2024-04-22T00:00:00"/>
    <d v="2024-04-22T00:00:00"/>
    <m/>
    <x v="96"/>
    <x v="1"/>
    <m/>
    <m/>
    <n v="80000"/>
    <n v="14400"/>
    <m/>
  </r>
  <r>
    <n v="98"/>
    <s v="Computers"/>
    <x v="2"/>
    <s v="RakeshTradingCompany"/>
    <s v="RTC2425G987"/>
    <d v="2024-04-22T00:00:00"/>
    <d v="2024-04-22T00:00:00"/>
    <m/>
    <x v="97"/>
    <x v="0"/>
    <m/>
    <m/>
    <n v="17067"/>
    <n v="3072.06"/>
    <m/>
  </r>
  <r>
    <n v="99"/>
    <s v="Computers"/>
    <x v="0"/>
    <s v="RakeshTradingCompany"/>
    <s v="RTC2425G988"/>
    <d v="2024-04-24T00:00:00"/>
    <d v="2024-04-22T00:00:00"/>
    <m/>
    <x v="98"/>
    <x v="1"/>
    <m/>
    <m/>
    <n v="80000"/>
    <n v="14400"/>
    <m/>
  </r>
  <r>
    <n v="100"/>
    <s v="Computers"/>
    <x v="2"/>
    <s v="RakeshTradingCompany"/>
    <s v="RTC2425G988"/>
    <d v="2024-04-24T00:00:00"/>
    <d v="2024-04-22T00:00:00"/>
    <m/>
    <x v="99"/>
    <x v="1"/>
    <m/>
    <m/>
    <n v="17067"/>
    <n v="3072.06"/>
    <m/>
  </r>
  <r>
    <n v="101"/>
    <s v="Computers"/>
    <x v="0"/>
    <s v="RakeshTradingCompany"/>
    <s v="RTC2425G1155"/>
    <d v="2024-04-25T00:00:00"/>
    <d v="2024-04-25T00:00:00"/>
    <m/>
    <x v="100"/>
    <x v="0"/>
    <m/>
    <m/>
    <n v="190524"/>
    <n v="34294.32"/>
    <m/>
  </r>
  <r>
    <n v="102"/>
    <s v="Computers"/>
    <x v="2"/>
    <s v="RakeshTradingCompany"/>
    <s v="RTC2425G1249"/>
    <d v="2024-04-27T00:00:00"/>
    <d v="2024-04-27T00:00:00"/>
    <m/>
    <x v="101"/>
    <x v="0"/>
    <m/>
    <m/>
    <n v="17067"/>
    <n v="3072.06"/>
    <m/>
  </r>
  <r>
    <n v="103"/>
    <s v="Computers"/>
    <x v="0"/>
    <s v="RakeshTradingCompany"/>
    <s v="RTC2425G2326"/>
    <d v="2024-05-20T00:00:00"/>
    <d v="2024-05-20T00:00:00"/>
    <m/>
    <x v="102"/>
    <x v="1"/>
    <m/>
    <m/>
    <n v="190524"/>
    <n v="34294.32"/>
    <m/>
  </r>
  <r>
    <n v="104"/>
    <s v="Computers"/>
    <x v="0"/>
    <s v="RakeshTradingCompany"/>
    <s v="RTC2425G2328"/>
    <d v="2024-05-20T00:00:00"/>
    <d v="2024-05-20T00:00:00"/>
    <m/>
    <x v="103"/>
    <x v="0"/>
    <m/>
    <m/>
    <n v="190524"/>
    <n v="34294.32"/>
    <m/>
  </r>
  <r>
    <n v="105"/>
    <s v="Computers"/>
    <x v="0"/>
    <s v="RakeshTradingCompany"/>
    <s v="RTC2425G2327"/>
    <d v="2024-05-20T00:00:00"/>
    <d v="2024-05-20T00:00:00"/>
    <m/>
    <x v="104"/>
    <x v="0"/>
    <m/>
    <m/>
    <n v="190524"/>
    <n v="34294.32"/>
    <m/>
  </r>
  <r>
    <n v="106"/>
    <s v="Computers"/>
    <x v="2"/>
    <s v="RakeshTradingCompany"/>
    <s v="RTC2425G2327"/>
    <d v="2024-05-20T00:00:00"/>
    <d v="2024-05-20T00:00:00"/>
    <m/>
    <x v="105"/>
    <x v="0"/>
    <m/>
    <m/>
    <n v="17067"/>
    <n v="3072.06"/>
    <m/>
  </r>
  <r>
    <n v="107"/>
    <s v="Computers"/>
    <x v="0"/>
    <s v="RakeshTradingCompany"/>
    <s v="RTC2425G2413"/>
    <d v="2024-05-21T00:00:00"/>
    <d v="2024-05-21T00:00:00"/>
    <m/>
    <x v="106"/>
    <x v="1"/>
    <m/>
    <m/>
    <n v="190524"/>
    <n v="34294.32"/>
    <m/>
  </r>
  <r>
    <n v="108"/>
    <s v="Computers"/>
    <x v="0"/>
    <s v="RakeshTradingCompany"/>
    <s v="RTC2425G1484"/>
    <d v="2024-05-23T00:00:00"/>
    <d v="2024-05-03T00:00:00"/>
    <m/>
    <x v="107"/>
    <x v="1"/>
    <m/>
    <m/>
    <n v="190524"/>
    <n v="34294.32"/>
    <m/>
  </r>
  <r>
    <n v="109"/>
    <s v="Computers"/>
    <x v="2"/>
    <s v="RakeshTradingCompany"/>
    <s v="RTC2425G1484"/>
    <d v="2024-05-23T00:00:00"/>
    <d v="2024-05-03T00:00:00"/>
    <m/>
    <x v="108"/>
    <x v="0"/>
    <m/>
    <m/>
    <n v="17067"/>
    <n v="3072.06"/>
    <m/>
  </r>
  <r>
    <n v="110"/>
    <s v="Computers"/>
    <x v="0"/>
    <s v="RakeshTradingCompany"/>
    <s v="RTC2425G2871"/>
    <d v="2024-05-30T00:00:00"/>
    <d v="2024-05-30T00:00:00"/>
    <m/>
    <x v="109"/>
    <x v="1"/>
    <m/>
    <m/>
    <n v="190524"/>
    <n v="34294.32"/>
    <m/>
  </r>
  <r>
    <n v="111"/>
    <s v="Computers"/>
    <x v="0"/>
    <s v="RakeshTradingCompany"/>
    <s v="RTC2425G2985"/>
    <d v="2024-06-01T00:00:00"/>
    <d v="2024-06-01T00:00:00"/>
    <m/>
    <x v="110"/>
    <x v="0"/>
    <m/>
    <m/>
    <n v="190524"/>
    <n v="34294.32"/>
    <m/>
  </r>
  <r>
    <n v="112"/>
    <s v="Computers"/>
    <x v="2"/>
    <s v="RakeshTradingCompany"/>
    <s v="RTC2425G2985"/>
    <d v="2024-06-01T00:00:00"/>
    <d v="2024-06-01T00:00:00"/>
    <m/>
    <x v="111"/>
    <x v="1"/>
    <m/>
    <m/>
    <n v="17067"/>
    <n v="3072.06"/>
    <m/>
  </r>
  <r>
    <n v="113"/>
    <s v="Computers"/>
    <x v="0"/>
    <s v="RakeshTradingCompany"/>
    <s v="RTC2425G3306"/>
    <d v="2024-06-07T00:00:00"/>
    <d v="2024-06-07T00:00:00"/>
    <m/>
    <x v="112"/>
    <x v="1"/>
    <m/>
    <m/>
    <n v="190524"/>
    <n v="34294.32"/>
    <m/>
  </r>
  <r>
    <n v="114"/>
    <s v="Computers"/>
    <x v="2"/>
    <s v="RakeshTradingCompany"/>
    <s v="RTC2425G3306"/>
    <d v="2024-06-07T00:00:00"/>
    <d v="2024-06-07T00:00:00"/>
    <m/>
    <x v="113"/>
    <x v="1"/>
    <m/>
    <m/>
    <n v="17067"/>
    <n v="3072.06"/>
    <m/>
  </r>
  <r>
    <n v="115"/>
    <s v="Computers"/>
    <x v="0"/>
    <s v="RakeshTradingCompany"/>
    <s v="RTC2425G3307"/>
    <d v="2024-06-07T00:00:00"/>
    <d v="2024-06-07T00:00:00"/>
    <m/>
    <x v="114"/>
    <x v="0"/>
    <m/>
    <m/>
    <n v="190524"/>
    <n v="34294.32"/>
    <m/>
  </r>
  <r>
    <n v="116"/>
    <s v="Computers"/>
    <x v="2"/>
    <s v="RakeshTradingCompany"/>
    <s v="RTC2425G3307"/>
    <d v="2024-06-07T00:00:00"/>
    <d v="2024-06-07T00:00:00"/>
    <m/>
    <x v="115"/>
    <x v="0"/>
    <m/>
    <m/>
    <n v="17067"/>
    <n v="3072.06"/>
    <m/>
  </r>
  <r>
    <n v="117"/>
    <s v="Computers"/>
    <x v="0"/>
    <s v="RakeshTradingCompany"/>
    <s v="RTC2425G3335"/>
    <d v="2024-06-08T00:00:00"/>
    <d v="2024-06-08T00:00:00"/>
    <m/>
    <x v="116"/>
    <x v="0"/>
    <m/>
    <m/>
    <n v="88458"/>
    <n v="15922.439999999999"/>
    <m/>
  </r>
  <r>
    <n v="118"/>
    <s v="Computers"/>
    <x v="0"/>
    <s v="RakeshTradingCompany"/>
    <s v="RTC2425G4400"/>
    <d v="2024-06-27T00:00:00"/>
    <d v="2024-06-27T00:00:00"/>
    <m/>
    <x v="117"/>
    <x v="0"/>
    <m/>
    <m/>
    <n v="190524"/>
    <n v="34294.32"/>
    <m/>
  </r>
  <r>
    <n v="119"/>
    <s v="Computers"/>
    <x v="2"/>
    <s v="RakeshTradingCompany"/>
    <s v="RTC2425G4400"/>
    <d v="2024-06-27T00:00:00"/>
    <d v="2024-06-27T00:00:00"/>
    <m/>
    <x v="118"/>
    <x v="0"/>
    <m/>
    <m/>
    <n v="17067"/>
    <n v="3072.06"/>
    <m/>
  </r>
  <r>
    <n v="120"/>
    <s v="Computers"/>
    <x v="0"/>
    <s v="RakeshTradingCompany"/>
    <s v="RTC2425G4389"/>
    <d v="2024-06-27T00:00:00"/>
    <d v="2024-06-27T00:00:00"/>
    <m/>
    <x v="119"/>
    <x v="0"/>
    <m/>
    <m/>
    <n v="190524"/>
    <n v="34294.32"/>
    <m/>
  </r>
  <r>
    <n v="121"/>
    <s v="Computers"/>
    <x v="2"/>
    <s v="RakeshTradingCompany"/>
    <s v="RTC2425G4389"/>
    <d v="2024-06-27T00:00:00"/>
    <d v="2024-06-27T00:00:00"/>
    <m/>
    <x v="120"/>
    <x v="0"/>
    <m/>
    <m/>
    <n v="17067"/>
    <n v="3072.06"/>
    <m/>
  </r>
  <r>
    <n v="122"/>
    <s v="Computers"/>
    <x v="0"/>
    <s v="RakeshTradingCompany"/>
    <s v="RTC2425G4947"/>
    <d v="2024-07-08T00:00:00"/>
    <d v="2024-07-08T00:00:00"/>
    <m/>
    <x v="121"/>
    <x v="0"/>
    <m/>
    <m/>
    <n v="190524"/>
    <n v="34294.32"/>
    <m/>
  </r>
  <r>
    <n v="123"/>
    <s v="Computers"/>
    <x v="2"/>
    <s v="RakeshTradingCompany"/>
    <s v="RTC2425G4947"/>
    <d v="2024-07-08T00:00:00"/>
    <d v="2024-07-08T00:00:00"/>
    <m/>
    <x v="122"/>
    <x v="1"/>
    <m/>
    <m/>
    <n v="34134"/>
    <n v="6144.12"/>
    <m/>
  </r>
  <r>
    <n v="124"/>
    <s v="Computers"/>
    <x v="2"/>
    <s v="RakeshTradingCompany"/>
    <s v="RTC2425G4947"/>
    <d v="2024-07-08T00:00:00"/>
    <d v="2024-07-08T00:00:00"/>
    <m/>
    <x v="123"/>
    <x v="1"/>
    <m/>
    <m/>
    <m/>
    <m/>
    <m/>
  </r>
  <r>
    <n v="125"/>
    <s v="Computers"/>
    <x v="0"/>
    <s v="RakeshTradingCompany"/>
    <s v="RTC2425G5678"/>
    <d v="2024-07-20T00:00:00"/>
    <d v="2024-07-20T00:00:00"/>
    <m/>
    <x v="124"/>
    <x v="1"/>
    <m/>
    <m/>
    <n v="190524"/>
    <n v="34294.32"/>
    <m/>
  </r>
  <r>
    <n v="126"/>
    <s v="Computers"/>
    <x v="2"/>
    <s v="RakeshTradingCompany"/>
    <s v="RTC2425G5678"/>
    <d v="2024-07-20T00:00:00"/>
    <d v="2024-07-20T00:00:00"/>
    <m/>
    <x v="125"/>
    <x v="1"/>
    <m/>
    <m/>
    <n v="17067"/>
    <n v="3072.06"/>
    <m/>
  </r>
  <r>
    <n v="127"/>
    <s v="Computers"/>
    <x v="0"/>
    <s v="RakeshTradingCompany"/>
    <s v="RTC2425G5863"/>
    <d v="2024-07-24T00:00:00"/>
    <d v="2024-07-24T00:00:00"/>
    <m/>
    <x v="126"/>
    <x v="0"/>
    <m/>
    <m/>
    <n v="190524"/>
    <n v="34294.32"/>
    <m/>
  </r>
  <r>
    <n v="128"/>
    <s v="Computers"/>
    <x v="0"/>
    <s v="RakeshTradingCompany"/>
    <s v="RTC2425G6161"/>
    <d v="2024-07-30T00:00:00"/>
    <d v="2024-07-30T00:00:00"/>
    <m/>
    <x v="127"/>
    <x v="1"/>
    <m/>
    <m/>
    <n v="190524"/>
    <n v="34294.32"/>
    <m/>
  </r>
  <r>
    <n v="129"/>
    <s v="Computers"/>
    <x v="2"/>
    <s v="RakeshTradingCompany"/>
    <s v="RTC2425G6161"/>
    <d v="2024-07-30T00:00:00"/>
    <d v="2024-07-30T00:00:00"/>
    <m/>
    <x v="128"/>
    <x v="1"/>
    <m/>
    <m/>
    <n v="17067"/>
    <n v="3072.06"/>
    <m/>
  </r>
  <r>
    <n v="130"/>
    <s v="Computers"/>
    <x v="0"/>
    <s v="RakeshTradingCompany"/>
    <s v="RTC2425G6333"/>
    <d v="2024-08-01T00:00:00"/>
    <d v="2024-08-01T00:00:00"/>
    <m/>
    <x v="129"/>
    <x v="1"/>
    <m/>
    <m/>
    <n v="190524"/>
    <n v="34294.32"/>
    <m/>
  </r>
  <r>
    <n v="131"/>
    <s v="Computers"/>
    <x v="0"/>
    <s v="RakeshTradingCompany"/>
    <s v="RTC2425G6334"/>
    <d v="2024-08-01T00:00:00"/>
    <d v="2024-08-01T00:00:00"/>
    <m/>
    <x v="130"/>
    <x v="1"/>
    <m/>
    <m/>
    <n v="222100"/>
    <n v="39978"/>
    <m/>
  </r>
  <r>
    <n v="132"/>
    <s v="Computers"/>
    <x v="2"/>
    <s v="RakeshTradingCompany"/>
    <s v="RTC2425G6375"/>
    <d v="2024-08-02T00:00:00"/>
    <d v="2024-08-02T00:00:00"/>
    <m/>
    <x v="131"/>
    <x v="0"/>
    <m/>
    <m/>
    <n v="43700"/>
    <n v="7866"/>
    <m/>
  </r>
  <r>
    <n v="133"/>
    <s v="Computers"/>
    <x v="2"/>
    <s v="RakeshTradingCompany"/>
    <s v="RTC2425G6375"/>
    <d v="2024-08-02T00:00:00"/>
    <d v="2024-08-02T00:00:00"/>
    <m/>
    <x v="132"/>
    <x v="0"/>
    <m/>
    <m/>
    <m/>
    <m/>
    <m/>
  </r>
  <r>
    <n v="134"/>
    <s v="Computers"/>
    <x v="0"/>
    <s v="RakeshTradingCompany"/>
    <s v="RTC2425G6873"/>
    <d v="2024-08-10T00:00:00"/>
    <d v="2024-08-10T00:00:00"/>
    <m/>
    <x v="133"/>
    <x v="1"/>
    <m/>
    <m/>
    <n v="82000"/>
    <n v="14760"/>
    <m/>
  </r>
  <r>
    <n v="135"/>
    <s v="Computers"/>
    <x v="2"/>
    <s v="RakeshTradingCompany"/>
    <s v="RTC2425G6873"/>
    <d v="2024-08-10T00:00:00"/>
    <d v="2024-08-10T00:00:00"/>
    <m/>
    <x v="134"/>
    <x v="1"/>
    <m/>
    <m/>
    <n v="17067"/>
    <n v="3072.06"/>
    <m/>
  </r>
  <r>
    <n v="136"/>
    <s v="Computers"/>
    <x v="0"/>
    <s v="RakeshTradingCompany"/>
    <s v="RTC2425G6999"/>
    <d v="2024-08-13T00:00:00"/>
    <d v="2024-08-13T00:00:00"/>
    <m/>
    <x v="135"/>
    <x v="1"/>
    <m/>
    <m/>
    <n v="82000"/>
    <n v="14760"/>
    <m/>
  </r>
  <r>
    <n v="137"/>
    <s v="Computers"/>
    <x v="0"/>
    <s v="RakeshTradingCompany"/>
    <s v="RTC2425G7161"/>
    <d v="2024-08-16T00:00:00"/>
    <d v="2024-08-16T00:00:00"/>
    <m/>
    <x v="136"/>
    <x v="1"/>
    <m/>
    <m/>
    <n v="190524"/>
    <n v="34294.32"/>
    <m/>
  </r>
  <r>
    <n v="138"/>
    <s v="Computers"/>
    <x v="0"/>
    <s v="RakeshTradingCompany"/>
    <s v="RTC2425G7537"/>
    <d v="2024-08-23T00:00:00"/>
    <d v="2024-08-23T00:00:00"/>
    <m/>
    <x v="137"/>
    <x v="0"/>
    <m/>
    <m/>
    <n v="190524"/>
    <n v="34294.32"/>
    <m/>
  </r>
  <r>
    <n v="139"/>
    <s v="Computers"/>
    <x v="0"/>
    <s v="RakeshTradingCompany"/>
    <s v="RTC2425G7761"/>
    <d v="2024-08-28T00:00:00"/>
    <d v="2024-08-28T00:00:00"/>
    <m/>
    <x v="138"/>
    <x v="0"/>
    <m/>
    <m/>
    <n v="82000"/>
    <n v="14760"/>
    <m/>
  </r>
  <r>
    <n v="140"/>
    <s v="Computers"/>
    <x v="2"/>
    <s v="RakeshTradingCompany"/>
    <s v="RTC2425G7761"/>
    <d v="2024-08-28T00:00:00"/>
    <d v="2024-08-28T00:00:00"/>
    <m/>
    <x v="139"/>
    <x v="0"/>
    <m/>
    <m/>
    <n v="17067"/>
    <n v="3072.06"/>
    <m/>
  </r>
  <r>
    <n v="141"/>
    <s v="Computers"/>
    <x v="0"/>
    <s v="RakeshTradingCompany"/>
    <s v="RTC2425G7810"/>
    <d v="2024-08-29T00:00:00"/>
    <d v="2024-08-29T00:00:00"/>
    <m/>
    <x v="140"/>
    <x v="0"/>
    <m/>
    <m/>
    <n v="78103"/>
    <n v="14058.539999999999"/>
    <m/>
  </r>
  <r>
    <n v="142"/>
    <s v="Computers"/>
    <x v="0"/>
    <s v="RakeshTradingCompany"/>
    <s v="RTC2425G7843"/>
    <d v="2024-08-29T00:00:00"/>
    <d v="2024-08-29T00:00:00"/>
    <m/>
    <x v="141"/>
    <x v="0"/>
    <m/>
    <m/>
    <n v="190524"/>
    <n v="34294.32"/>
    <m/>
  </r>
  <r>
    <n v="143"/>
    <s v="Computers"/>
    <x v="2"/>
    <s v="RakeshTradingCompany"/>
    <s v="RTC2425G7843"/>
    <d v="2024-08-29T00:00:00"/>
    <d v="2024-08-29T00:00:00"/>
    <m/>
    <x v="142"/>
    <x v="0"/>
    <m/>
    <m/>
    <n v="34134"/>
    <n v="6144.12"/>
    <m/>
  </r>
  <r>
    <n v="144"/>
    <s v="Computers"/>
    <x v="2"/>
    <s v="RakeshTradingCompany"/>
    <s v="RTC2425G7843"/>
    <d v="2024-08-29T00:00:00"/>
    <d v="2024-08-29T00:00:00"/>
    <m/>
    <x v="143"/>
    <x v="0"/>
    <m/>
    <m/>
    <m/>
    <m/>
    <m/>
  </r>
  <r>
    <n v="145"/>
    <s v="Computers"/>
    <x v="0"/>
    <s v="RakeshTradingCompany"/>
    <s v="RTC2425G7756"/>
    <d v="2024-09-01T00:00:00"/>
    <d v="2024-08-28T00:00:00"/>
    <m/>
    <x v="144"/>
    <x v="0"/>
    <m/>
    <m/>
    <n v="190524"/>
    <n v="34294.32"/>
    <m/>
  </r>
  <r>
    <n v="146"/>
    <s v="Computers"/>
    <x v="2"/>
    <s v="RakeshTradingCompany"/>
    <s v="RTC2425G7756"/>
    <d v="2024-09-01T00:00:00"/>
    <d v="2024-08-28T00:00:00"/>
    <m/>
    <x v="145"/>
    <x v="1"/>
    <m/>
    <m/>
    <n v="17067"/>
    <n v="3072.06"/>
    <m/>
  </r>
  <r>
    <n v="147"/>
    <s v="Computers"/>
    <x v="0"/>
    <s v="RakeshTradingCompany"/>
    <s v="RTC2425G8048"/>
    <d v="2024-09-03T00:00:00"/>
    <d v="2024-09-03T00:00:00"/>
    <m/>
    <x v="146"/>
    <x v="1"/>
    <m/>
    <m/>
    <n v="222100"/>
    <n v="39978"/>
    <m/>
  </r>
  <r>
    <n v="148"/>
    <s v="Computers"/>
    <x v="2"/>
    <s v="RakeshTradingCompany"/>
    <s v="RTC2425G8048"/>
    <d v="2024-09-03T00:00:00"/>
    <d v="2024-09-03T00:00:00"/>
    <m/>
    <x v="147"/>
    <x v="1"/>
    <m/>
    <m/>
    <n v="17067"/>
    <n v="3072.06"/>
    <m/>
  </r>
  <r>
    <n v="149"/>
    <s v="Computers"/>
    <x v="0"/>
    <s v="RakeshTradingCompany"/>
    <s v="RTC2425G8157"/>
    <d v="2024-09-04T00:00:00"/>
    <d v="2024-09-04T00:00:00"/>
    <m/>
    <x v="148"/>
    <x v="1"/>
    <m/>
    <m/>
    <n v="190524"/>
    <n v="34294.32"/>
    <m/>
  </r>
  <r>
    <n v="150"/>
    <s v="Computers"/>
    <x v="2"/>
    <s v="RakeshTradingCompany"/>
    <s v="RTC2425G8770"/>
    <d v="2024-09-17T00:00:00"/>
    <d v="2024-09-17T00:00:00"/>
    <m/>
    <x v="149"/>
    <x v="1"/>
    <m/>
    <m/>
    <n v="34134"/>
    <n v="6144.12"/>
    <m/>
  </r>
  <r>
    <n v="151"/>
    <s v="Computers"/>
    <x v="2"/>
    <s v="RakeshTradingCompany"/>
    <s v="RTC2425G8770"/>
    <d v="2024-09-17T00:00:00"/>
    <d v="2024-09-17T00:00:00"/>
    <m/>
    <x v="150"/>
    <x v="1"/>
    <m/>
    <m/>
    <m/>
    <m/>
    <m/>
  </r>
  <r>
    <n v="152"/>
    <s v="Computers"/>
    <x v="0"/>
    <s v="RakeshTradingCompany"/>
    <s v="RTC2425G9016"/>
    <d v="2024-10-01T00:00:00"/>
    <d v="2024-09-20T00:00:00"/>
    <m/>
    <x v="151"/>
    <x v="0"/>
    <m/>
    <m/>
    <n v="190524"/>
    <n v="34294.32"/>
    <m/>
  </r>
  <r>
    <n v="153"/>
    <s v="Computers"/>
    <x v="2"/>
    <s v="RakeshTradingCompany"/>
    <s v="RTC2425G9016"/>
    <d v="2024-10-01T00:00:00"/>
    <d v="2024-09-20T00:00:00"/>
    <m/>
    <x v="152"/>
    <x v="0"/>
    <m/>
    <m/>
    <n v="34134"/>
    <n v="6144.12"/>
    <m/>
  </r>
  <r>
    <n v="154"/>
    <s v="Computers"/>
    <x v="2"/>
    <s v="RakeshTradingCompany"/>
    <s v="RTC2425G9016"/>
    <d v="2024-10-01T00:00:00"/>
    <d v="2024-09-20T00:00:00"/>
    <m/>
    <x v="153"/>
    <x v="0"/>
    <m/>
    <m/>
    <m/>
    <m/>
    <m/>
  </r>
  <r>
    <n v="155"/>
    <s v="Computers"/>
    <x v="0"/>
    <s v="RakeshTradingCompany"/>
    <s v="RTC2425G9645"/>
    <d v="2024-10-03T00:00:00"/>
    <d v="2024-10-03T00:00:00"/>
    <m/>
    <x v="154"/>
    <x v="1"/>
    <m/>
    <m/>
    <n v="190524"/>
    <n v="34294.32"/>
    <m/>
  </r>
  <r>
    <n v="156"/>
    <s v="Computers"/>
    <x v="0"/>
    <s v="RakeshTradingCompany"/>
    <s v="RTC2425G9646"/>
    <d v="2024-10-03T00:00:00"/>
    <d v="2024-10-03T00:00:00"/>
    <m/>
    <x v="155"/>
    <x v="1"/>
    <m/>
    <m/>
    <n v="190524"/>
    <n v="34294.32"/>
    <m/>
  </r>
  <r>
    <n v="157"/>
    <s v="Computers"/>
    <x v="2"/>
    <s v="RakeshTradingCompany"/>
    <s v="RTC2425G9646"/>
    <d v="2024-10-03T00:00:00"/>
    <d v="2024-10-03T00:00:00"/>
    <m/>
    <x v="156"/>
    <x v="1"/>
    <m/>
    <m/>
    <n v="34134"/>
    <n v="6144.12"/>
    <m/>
  </r>
  <r>
    <n v="158"/>
    <s v="Computers"/>
    <x v="2"/>
    <s v="RakeshTradingCompany"/>
    <s v="RTC2425G9646"/>
    <d v="2024-10-03T00:00:00"/>
    <d v="2024-10-03T00:00:00"/>
    <m/>
    <x v="157"/>
    <x v="1"/>
    <m/>
    <m/>
    <m/>
    <m/>
    <m/>
  </r>
  <r>
    <n v="159"/>
    <s v="Computers"/>
    <x v="0"/>
    <s v="RakeshTradingCompany"/>
    <s v="RTC2425G9647"/>
    <d v="2024-10-03T00:00:00"/>
    <d v="2024-10-03T00:00:00"/>
    <m/>
    <x v="158"/>
    <x v="0"/>
    <m/>
    <m/>
    <n v="190524"/>
    <n v="34294.32"/>
    <m/>
  </r>
  <r>
    <n v="160"/>
    <s v="Computers"/>
    <x v="2"/>
    <s v="RakeshTradingCompany"/>
    <s v="RTC2425G9647"/>
    <d v="2024-10-03T00:00:00"/>
    <d v="2024-10-03T00:00:00"/>
    <m/>
    <x v="159"/>
    <x v="1"/>
    <m/>
    <m/>
    <n v="17067"/>
    <n v="3072.06"/>
    <m/>
  </r>
  <r>
    <n v="161"/>
    <s v="Computers"/>
    <x v="0"/>
    <s v="RakeshTradingCompany"/>
    <s v="RTC2425G9643"/>
    <d v="2024-10-03T00:00:00"/>
    <d v="2024-10-03T00:00:00"/>
    <m/>
    <x v="160"/>
    <x v="1"/>
    <m/>
    <m/>
    <n v="190524"/>
    <n v="34294.32"/>
    <m/>
  </r>
  <r>
    <n v="162"/>
    <s v="Computers"/>
    <x v="2"/>
    <s v="RakeshTradingCompany"/>
    <s v="RTC2425G9643"/>
    <d v="2024-10-03T00:00:00"/>
    <d v="2024-10-03T00:00:00"/>
    <m/>
    <x v="161"/>
    <x v="1"/>
    <m/>
    <m/>
    <n v="34134"/>
    <n v="6144.12"/>
    <m/>
  </r>
  <r>
    <n v="163"/>
    <s v="Computers"/>
    <x v="2"/>
    <s v="RakeshTradingCompany"/>
    <s v="RTC2425G9643"/>
    <d v="2024-10-03T00:00:00"/>
    <d v="2024-10-03T00:00:00"/>
    <m/>
    <x v="162"/>
    <x v="1"/>
    <m/>
    <m/>
    <m/>
    <m/>
    <m/>
  </r>
  <r>
    <n v="164"/>
    <s v="Computers"/>
    <x v="0"/>
    <s v="RakeshTradingCompany"/>
    <s v="RTC2425G9644"/>
    <d v="2024-10-03T00:00:00"/>
    <d v="2024-10-03T00:00:00"/>
    <m/>
    <x v="163"/>
    <x v="1"/>
    <m/>
    <m/>
    <n v="190524"/>
    <n v="34294.32"/>
    <m/>
  </r>
  <r>
    <n v="165"/>
    <s v="Computers"/>
    <x v="2"/>
    <s v="RakeshTradingCompany"/>
    <s v="RTC2425G9644"/>
    <d v="2024-10-03T00:00:00"/>
    <d v="2024-10-03T00:00:00"/>
    <m/>
    <x v="164"/>
    <x v="1"/>
    <m/>
    <m/>
    <n v="34134"/>
    <n v="6144.12"/>
    <m/>
  </r>
  <r>
    <n v="166"/>
    <s v="Computers"/>
    <x v="2"/>
    <s v="RakeshTradingCompany"/>
    <s v="RTC2425G9644"/>
    <d v="2024-10-03T00:00:00"/>
    <d v="2024-10-03T00:00:00"/>
    <m/>
    <x v="165"/>
    <x v="1"/>
    <m/>
    <m/>
    <m/>
    <m/>
    <m/>
  </r>
  <r>
    <n v="167"/>
    <s v="Computers"/>
    <x v="2"/>
    <s v="RakeshTradingCompany"/>
    <s v="RTC2425G10108"/>
    <d v="2024-10-14T00:00:00"/>
    <d v="2024-10-14T00:00:00"/>
    <m/>
    <x v="166"/>
    <x v="1"/>
    <m/>
    <m/>
    <n v="17067"/>
    <n v="3072.06"/>
    <m/>
  </r>
  <r>
    <n v="168"/>
    <s v="Computers"/>
    <x v="0"/>
    <s v="RakeshTradingCompany"/>
    <s v="RTC2425G10109"/>
    <d v="2024-10-14T00:00:00"/>
    <d v="2024-10-14T00:00:00"/>
    <m/>
    <x v="167"/>
    <x v="0"/>
    <m/>
    <m/>
    <n v="190524"/>
    <n v="34294.32"/>
    <m/>
  </r>
  <r>
    <n v="169"/>
    <s v="Computers"/>
    <x v="2"/>
    <s v="RakeshTradingCompany"/>
    <s v="RTC2425G10109"/>
    <d v="2024-10-14T00:00:00"/>
    <d v="2024-10-14T00:00:00"/>
    <m/>
    <x v="168"/>
    <x v="0"/>
    <m/>
    <m/>
    <n v="34134"/>
    <n v="6144.12"/>
    <m/>
  </r>
  <r>
    <n v="170"/>
    <s v="Computers"/>
    <x v="2"/>
    <s v="RakeshTradingCompany"/>
    <s v="RTC2425G10109"/>
    <d v="2024-10-14T00:00:00"/>
    <d v="2024-10-14T00:00:00"/>
    <m/>
    <x v="169"/>
    <x v="0"/>
    <m/>
    <m/>
    <m/>
    <m/>
    <m/>
  </r>
  <r>
    <n v="171"/>
    <s v="Computers"/>
    <x v="2"/>
    <s v="RakeshTradingCompany"/>
    <s v="RTC2425G10272"/>
    <d v="2024-10-15T00:00:00"/>
    <d v="2024-10-15T00:00:00"/>
    <m/>
    <x v="170"/>
    <x v="0"/>
    <m/>
    <m/>
    <n v="53598"/>
    <n v="9647.64"/>
    <m/>
  </r>
  <r>
    <n v="172"/>
    <s v="Computers"/>
    <x v="2"/>
    <s v="RakeshTradingCompany"/>
    <s v="RTC2425G10272"/>
    <d v="2024-10-15T00:00:00"/>
    <d v="2024-10-15T00:00:00"/>
    <m/>
    <x v="171"/>
    <x v="0"/>
    <m/>
    <m/>
    <m/>
    <m/>
    <m/>
  </r>
  <r>
    <n v="173"/>
    <s v="Computers"/>
    <x v="0"/>
    <s v="RakeshTradingCompany"/>
    <s v="RTC2425G10445"/>
    <d v="2024-10-18T00:00:00"/>
    <d v="2024-10-18T00:00:00"/>
    <m/>
    <x v="172"/>
    <x v="1"/>
    <m/>
    <m/>
    <n v="82000"/>
    <n v="14760"/>
    <m/>
  </r>
  <r>
    <n v="174"/>
    <s v="Computers"/>
    <x v="2"/>
    <s v="RakeshTradingCompany"/>
    <s v="RTC2425G10445"/>
    <d v="2024-10-18T00:00:00"/>
    <d v="2024-10-18T00:00:00"/>
    <m/>
    <x v="173"/>
    <x v="0"/>
    <m/>
    <m/>
    <n v="34134"/>
    <n v="6144.12"/>
    <m/>
  </r>
  <r>
    <n v="175"/>
    <s v="Computers"/>
    <x v="2"/>
    <s v="RakeshTradingCompany"/>
    <s v="RTC2425G10445"/>
    <d v="2024-10-18T00:00:00"/>
    <d v="2024-10-18T00:00:00"/>
    <m/>
    <x v="174"/>
    <x v="0"/>
    <m/>
    <m/>
    <m/>
    <m/>
    <m/>
  </r>
  <r>
    <n v="176"/>
    <s v="Computers"/>
    <x v="0"/>
    <s v="RakeshTradingCompany"/>
    <s v="RTC2425G10897"/>
    <d v="2024-10-28T00:00:00"/>
    <d v="2024-10-28T00:00:00"/>
    <m/>
    <x v="175"/>
    <x v="0"/>
    <m/>
    <m/>
    <n v="190524"/>
    <n v="34294.32"/>
    <m/>
  </r>
  <r>
    <n v="177"/>
    <s v="Computers"/>
    <x v="0"/>
    <s v="RakeshTradingCompany"/>
    <s v="RTC2425G10675"/>
    <d v="2024-11-01T00:00:00"/>
    <d v="2024-10-23T00:00:00"/>
    <m/>
    <x v="176"/>
    <x v="0"/>
    <m/>
    <m/>
    <n v="190524"/>
    <n v="34294.32"/>
    <m/>
  </r>
  <r>
    <n v="178"/>
    <s v="Computers"/>
    <x v="2"/>
    <s v="RakeshTradingCompany"/>
    <s v="RTC2425G10675"/>
    <d v="2024-11-01T00:00:00"/>
    <d v="2024-11-01T00:00:00"/>
    <m/>
    <x v="177"/>
    <x v="0"/>
    <m/>
    <m/>
    <n v="34134"/>
    <n v="6144.12"/>
    <m/>
  </r>
  <r>
    <n v="179"/>
    <s v="Computers"/>
    <x v="2"/>
    <s v="RakeshTradingCompany"/>
    <s v="RTC2425G10675"/>
    <d v="2024-11-01T00:00:00"/>
    <d v="2024-11-01T00:00:00"/>
    <m/>
    <x v="178"/>
    <x v="0"/>
    <m/>
    <m/>
    <m/>
    <m/>
    <m/>
  </r>
  <r>
    <n v="180"/>
    <s v="Computers"/>
    <x v="0"/>
    <s v="RakeshTradingCompany"/>
    <s v="RTC2425G11156"/>
    <d v="2024-11-05T00:00:00"/>
    <d v="2024-11-05T00:00:00"/>
    <m/>
    <x v="179"/>
    <x v="0"/>
    <m/>
    <m/>
    <n v="190524"/>
    <n v="34294.32"/>
    <m/>
  </r>
  <r>
    <n v="181"/>
    <s v="Computers"/>
    <x v="2"/>
    <s v="RakeshTradingCompany"/>
    <s v="RTC2425G11156"/>
    <d v="2024-11-05T00:00:00"/>
    <d v="2024-11-05T00:00:00"/>
    <m/>
    <x v="180"/>
    <x v="0"/>
    <m/>
    <m/>
    <n v="34134"/>
    <n v="6144.12"/>
    <m/>
  </r>
  <r>
    <n v="182"/>
    <s v="Computers"/>
    <x v="2"/>
    <s v="RakeshTradingCompany"/>
    <s v="RTC2425G11156"/>
    <d v="2024-11-05T00:00:00"/>
    <d v="2024-11-05T00:00:00"/>
    <m/>
    <x v="181"/>
    <x v="0"/>
    <m/>
    <m/>
    <m/>
    <m/>
    <m/>
  </r>
  <r>
    <n v="183"/>
    <s v="Computers"/>
    <x v="0"/>
    <s v="RakeshTradingCompany"/>
    <s v="RTC2425G11155"/>
    <d v="2024-11-05T00:00:00"/>
    <d v="2024-11-05T00:00:00"/>
    <m/>
    <x v="182"/>
    <x v="0"/>
    <m/>
    <m/>
    <n v="190524"/>
    <n v="34294.32"/>
    <m/>
  </r>
  <r>
    <n v="184"/>
    <s v="Computers"/>
    <x v="2"/>
    <s v="RakeshTradingCompany"/>
    <s v="RTC2425G11155"/>
    <d v="2024-11-05T00:00:00"/>
    <d v="2024-11-05T00:00:00"/>
    <m/>
    <x v="183"/>
    <x v="1"/>
    <m/>
    <m/>
    <n v="17067"/>
    <n v="3072.06"/>
    <m/>
  </r>
  <r>
    <n v="185"/>
    <s v="Computers"/>
    <x v="0"/>
    <s v="RakeshTradingCompany"/>
    <s v="RTC2425G11228"/>
    <d v="2024-11-06T00:00:00"/>
    <d v="2024-11-06T00:00:00"/>
    <m/>
    <x v="184"/>
    <x v="0"/>
    <m/>
    <m/>
    <n v="222100"/>
    <n v="39978"/>
    <m/>
  </r>
  <r>
    <n v="186"/>
    <s v="Computers"/>
    <x v="2"/>
    <s v="RakeshTradingCompany"/>
    <s v="RTC2425G11228"/>
    <d v="2024-11-06T00:00:00"/>
    <d v="2024-11-06T00:00:00"/>
    <m/>
    <x v="185"/>
    <x v="1"/>
    <m/>
    <m/>
    <n v="168000"/>
    <n v="30240"/>
    <m/>
  </r>
  <r>
    <n v="187"/>
    <s v="Computers"/>
    <x v="0"/>
    <s v="RakeshTradingCompany"/>
    <s v="RTC2425G11371"/>
    <d v="2024-11-08T00:00:00"/>
    <d v="2024-11-08T00:00:00"/>
    <m/>
    <x v="186"/>
    <x v="0"/>
    <m/>
    <m/>
    <n v="190524"/>
    <n v="34294.32"/>
    <m/>
  </r>
  <r>
    <n v="188"/>
    <s v="Computers"/>
    <x v="2"/>
    <s v="RakeshTradingCompany"/>
    <s v="RTC2425G11371"/>
    <d v="2024-11-08T00:00:00"/>
    <d v="2024-11-08T00:00:00"/>
    <m/>
    <x v="187"/>
    <x v="1"/>
    <m/>
    <m/>
    <n v="17067"/>
    <n v="3072.06"/>
    <m/>
  </r>
  <r>
    <n v="189"/>
    <s v="Computers"/>
    <x v="0"/>
    <s v="RakeshTradingCompany"/>
    <s v="RTC2425G12221"/>
    <d v="2024-11-23T00:00:00"/>
    <d v="2024-11-23T00:00:00"/>
    <m/>
    <x v="188"/>
    <x v="1"/>
    <m/>
    <m/>
    <n v="137830"/>
    <n v="24809.399999999998"/>
    <m/>
  </r>
  <r>
    <n v="190"/>
    <s v="Computers"/>
    <x v="0"/>
    <s v="RakeshTradingCompany"/>
    <s v="RTC2425G12331"/>
    <d v="2024-11-26T00:00:00"/>
    <d v="2024-11-26T00:00:00"/>
    <m/>
    <x v="189"/>
    <x v="1"/>
    <m/>
    <m/>
    <n v="79500"/>
    <n v="14310"/>
    <m/>
  </r>
  <r>
    <n v="191"/>
    <s v="Computers"/>
    <x v="0"/>
    <s v="RakeshTradingCompany"/>
    <s v="RTC2425G12330"/>
    <d v="2024-11-26T00:00:00"/>
    <d v="2024-11-26T00:00:00"/>
    <m/>
    <x v="190"/>
    <x v="0"/>
    <m/>
    <m/>
    <n v="79500"/>
    <n v="14310"/>
    <m/>
  </r>
  <r>
    <n v="192"/>
    <s v="Computers"/>
    <x v="2"/>
    <s v="RakeshTradingCompany"/>
    <s v="RTC2425G12330"/>
    <d v="2024-11-26T00:00:00"/>
    <d v="2024-11-26T00:00:00"/>
    <m/>
    <x v="191"/>
    <x v="0"/>
    <m/>
    <m/>
    <n v="17067"/>
    <n v="3072.06"/>
    <m/>
  </r>
  <r>
    <n v="193"/>
    <s v="Computers"/>
    <x v="0"/>
    <s v="RakeshTradingCompany"/>
    <s v="RTC2425G12310"/>
    <d v="2024-11-26T00:00:00"/>
    <d v="2024-11-26T00:00:00"/>
    <m/>
    <x v="192"/>
    <x v="0"/>
    <m/>
    <m/>
    <n v="190524"/>
    <n v="34294.32"/>
    <m/>
  </r>
  <r>
    <n v="194"/>
    <s v="Computers"/>
    <x v="2"/>
    <s v="RakeshTradingCompany"/>
    <s v="RTC2425G12310"/>
    <d v="2024-11-26T00:00:00"/>
    <d v="2024-11-26T00:00:00"/>
    <m/>
    <x v="193"/>
    <x v="1"/>
    <m/>
    <m/>
    <n v="34134"/>
    <n v="6144.12"/>
    <m/>
  </r>
  <r>
    <n v="195"/>
    <s v="Computers"/>
    <x v="2"/>
    <s v="RakeshTradingCompany"/>
    <s v="RTC2425G12310"/>
    <d v="2024-11-26T00:00:00"/>
    <d v="2024-11-26T00:00:00"/>
    <m/>
    <x v="194"/>
    <x v="1"/>
    <m/>
    <m/>
    <m/>
    <m/>
    <m/>
  </r>
  <r>
    <n v="196"/>
    <s v="Computers"/>
    <x v="0"/>
    <s v="RakeshTradingCompany"/>
    <s v="RTC2425G12312"/>
    <d v="2024-11-26T00:00:00"/>
    <d v="2024-11-26T00:00:00"/>
    <m/>
    <x v="195"/>
    <x v="0"/>
    <m/>
    <m/>
    <n v="190524"/>
    <n v="34294.32"/>
    <m/>
  </r>
  <r>
    <n v="197"/>
    <s v="Computers"/>
    <x v="2"/>
    <s v="RakeshTradingCompany"/>
    <s v="RTC2425G12312"/>
    <d v="2024-11-26T00:00:00"/>
    <d v="2024-11-26T00:00:00"/>
    <m/>
    <x v="196"/>
    <x v="1"/>
    <m/>
    <m/>
    <n v="34134"/>
    <n v="6144.12"/>
    <m/>
  </r>
  <r>
    <n v="198"/>
    <s v="Computers"/>
    <x v="2"/>
    <s v="RakeshTradingCompany"/>
    <s v="RTC2425G12312"/>
    <d v="2024-11-26T00:00:00"/>
    <d v="2024-11-26T00:00:00"/>
    <m/>
    <x v="197"/>
    <x v="1"/>
    <m/>
    <m/>
    <m/>
    <m/>
    <m/>
  </r>
  <r>
    <n v="199"/>
    <s v="Computers"/>
    <x v="0"/>
    <s v="RakeshTradingCompany"/>
    <s v="RTC2425G12520"/>
    <d v="2024-12-01T00:00:00"/>
    <d v="2024-11-29T00:00:00"/>
    <m/>
    <x v="198"/>
    <x v="1"/>
    <m/>
    <m/>
    <n v="137830"/>
    <n v="24809.399999999998"/>
    <m/>
  </r>
  <r>
    <n v="200"/>
    <s v="Computers"/>
    <x v="0"/>
    <s v="RakeshTradingCompany"/>
    <s v="RTC2425G11661"/>
    <d v="2024-12-01T00:00:00"/>
    <d v="2024-11-14T00:00:00"/>
    <m/>
    <x v="199"/>
    <x v="0"/>
    <m/>
    <m/>
    <n v="79500"/>
    <n v="14310"/>
    <m/>
  </r>
  <r>
    <n v="201"/>
    <s v="Computers"/>
    <x v="0"/>
    <s v="RakeshTradingCompany"/>
    <s v="RTC2425G12332"/>
    <d v="2024-12-01T00:00:00"/>
    <d v="2024-11-26T00:00:00"/>
    <m/>
    <x v="200"/>
    <x v="1"/>
    <m/>
    <m/>
    <n v="79500"/>
    <n v="14310"/>
    <m/>
  </r>
  <r>
    <n v="202"/>
    <s v="Computers"/>
    <x v="0"/>
    <s v="RakeshTradingCompany"/>
    <s v="RTC2425G12519"/>
    <d v="2024-12-01T00:00:00"/>
    <d v="2024-11-29T00:00:00"/>
    <m/>
    <x v="201"/>
    <x v="1"/>
    <m/>
    <m/>
    <n v="137830"/>
    <n v="24809.399999999998"/>
    <m/>
  </r>
  <r>
    <n v="203"/>
    <s v="Computers"/>
    <x v="0"/>
    <s v="RakeshTradingCompany"/>
    <s v="RTC2425G12311"/>
    <d v="2024-12-01T00:00:00"/>
    <d v="2024-11-26T00:00:00"/>
    <m/>
    <x v="202"/>
    <x v="1"/>
    <m/>
    <m/>
    <n v="190524"/>
    <n v="34294.32"/>
    <m/>
  </r>
  <r>
    <n v="204"/>
    <s v="Computers"/>
    <x v="2"/>
    <s v="RakeshTradingCompany"/>
    <s v="RTC2425G12311"/>
    <d v="2024-12-01T00:00:00"/>
    <d v="2024-11-26T00:00:00"/>
    <m/>
    <x v="203"/>
    <x v="1"/>
    <m/>
    <m/>
    <n v="34134"/>
    <n v="6144.12"/>
    <m/>
  </r>
  <r>
    <n v="205"/>
    <s v="Computers"/>
    <x v="2"/>
    <s v="RakeshTradingCompany"/>
    <s v="RTC2425G12311"/>
    <d v="2024-12-01T00:00:00"/>
    <d v="2024-11-26T00:00:00"/>
    <m/>
    <x v="204"/>
    <x v="1"/>
    <m/>
    <m/>
    <m/>
    <m/>
    <m/>
  </r>
  <r>
    <n v="206"/>
    <s v="Computers"/>
    <x v="0"/>
    <s v="RakeshTradingCompany"/>
    <s v="RTC2425G11678"/>
    <d v="2024-12-01T00:00:00"/>
    <d v="2024-11-14T00:00:00"/>
    <m/>
    <x v="205"/>
    <x v="0"/>
    <m/>
    <m/>
    <n v="190524"/>
    <n v="34294.32"/>
    <m/>
  </r>
  <r>
    <n v="207"/>
    <s v="Computers"/>
    <x v="2"/>
    <s v="RakeshTradingCompany"/>
    <s v="RTC2425G11678"/>
    <d v="2024-12-01T00:00:00"/>
    <d v="2024-11-14T00:00:00"/>
    <m/>
    <x v="206"/>
    <x v="1"/>
    <m/>
    <m/>
    <n v="17067"/>
    <n v="3072.06"/>
    <m/>
  </r>
  <r>
    <n v="208"/>
    <s v="Computers"/>
    <x v="0"/>
    <s v="RakeshTradingCompany"/>
    <s v="RTC2425G12496"/>
    <d v="2024-12-01T00:00:00"/>
    <d v="2024-11-28T00:00:00"/>
    <m/>
    <x v="207"/>
    <x v="0"/>
    <m/>
    <m/>
    <n v="190524"/>
    <n v="34294.32"/>
    <m/>
  </r>
  <r>
    <n v="209"/>
    <s v="Computers"/>
    <x v="2"/>
    <s v="RakeshTradingCompany"/>
    <s v="RTC2425G12496"/>
    <d v="2024-12-01T00:00:00"/>
    <d v="2024-11-28T00:00:00"/>
    <m/>
    <x v="208"/>
    <x v="0"/>
    <m/>
    <m/>
    <n v="34134"/>
    <n v="6144.12"/>
    <m/>
  </r>
  <r>
    <n v="210"/>
    <s v="Computers"/>
    <x v="2"/>
    <s v="RakeshTradingCompany"/>
    <s v="RTC2425G12496"/>
    <d v="2024-12-01T00:00:00"/>
    <d v="2024-11-28T00:00:00"/>
    <m/>
    <x v="209"/>
    <x v="0"/>
    <m/>
    <m/>
    <m/>
    <m/>
    <m/>
  </r>
  <r>
    <n v="211"/>
    <s v="Computers"/>
    <x v="0"/>
    <s v="RakeshTradingCompany"/>
    <s v="RTC2425G11833"/>
    <d v="2024-12-01T00:00:00"/>
    <d v="2024-11-18T00:00:00"/>
    <m/>
    <x v="210"/>
    <x v="0"/>
    <m/>
    <m/>
    <n v="190524"/>
    <n v="34294.32"/>
    <m/>
  </r>
  <r>
    <n v="212"/>
    <s v="Computers"/>
    <x v="2"/>
    <s v="RakeshTradingCompany"/>
    <s v="RTC2425G11833"/>
    <d v="2024-12-01T00:00:00"/>
    <d v="2024-11-18T00:00:00"/>
    <m/>
    <x v="211"/>
    <x v="0"/>
    <m/>
    <m/>
    <n v="17067"/>
    <n v="3072.06"/>
    <m/>
  </r>
  <r>
    <n v="213"/>
    <s v="Computers"/>
    <x v="0"/>
    <s v="RakeshTradingCompany"/>
    <s v="RTC2425G11952"/>
    <d v="2024-12-01T00:00:00"/>
    <d v="2024-11-19T00:00:00"/>
    <m/>
    <x v="212"/>
    <x v="0"/>
    <m/>
    <m/>
    <n v="190524"/>
    <n v="34294.32"/>
    <m/>
  </r>
  <r>
    <n v="214"/>
    <s v="Computers"/>
    <x v="2"/>
    <s v="RakeshTradingCompany"/>
    <s v="RTC2425G11952"/>
    <d v="2024-12-01T00:00:00"/>
    <d v="2024-11-19T00:00:00"/>
    <m/>
    <x v="213"/>
    <x v="1"/>
    <m/>
    <m/>
    <n v="34134"/>
    <n v="6144.12"/>
    <m/>
  </r>
  <r>
    <n v="215"/>
    <s v="Computers"/>
    <x v="2"/>
    <s v="RakeshTradingCompany"/>
    <s v="RTC2425G11952"/>
    <d v="2024-12-01T00:00:00"/>
    <d v="2024-11-19T00:00:00"/>
    <m/>
    <x v="214"/>
    <x v="1"/>
    <m/>
    <m/>
    <m/>
    <m/>
    <m/>
  </r>
  <r>
    <n v="216"/>
    <s v="Computers"/>
    <x v="2"/>
    <s v="RakeshTradingCompany"/>
    <s v="RTC2425G13681"/>
    <d v="2024-12-19T00:00:00"/>
    <d v="2024-12-19T00:00:00"/>
    <m/>
    <x v="215"/>
    <x v="0"/>
    <m/>
    <m/>
    <n v="17067"/>
    <n v="3072.06"/>
    <m/>
  </r>
  <r>
    <n v="217"/>
    <s v="Computers"/>
    <x v="0"/>
    <s v="RakeshTradingCompany"/>
    <s v="RTC2425G13864"/>
    <d v="2024-12-23T00:00:00"/>
    <d v="2024-12-23T00:00:00"/>
    <m/>
    <x v="216"/>
    <x v="1"/>
    <m/>
    <m/>
    <n v="190524"/>
    <n v="34294.32"/>
    <m/>
  </r>
  <r>
    <n v="218"/>
    <s v="Computers"/>
    <x v="0"/>
    <s v="RakeshTradingCompany"/>
    <s v="RTC2425G14001"/>
    <d v="2024-12-26T00:00:00"/>
    <d v="2024-12-26T00:00:00"/>
    <m/>
    <x v="217"/>
    <x v="1"/>
    <m/>
    <m/>
    <n v="190524"/>
    <n v="34294.32"/>
    <m/>
  </r>
  <r>
    <n v="219"/>
    <s v="Computers"/>
    <x v="2"/>
    <s v="RakeshTradingCompany"/>
    <s v="RTC2425G14001"/>
    <d v="2024-12-26T00:00:00"/>
    <d v="2024-12-26T00:00:00"/>
    <m/>
    <x v="218"/>
    <x v="1"/>
    <m/>
    <m/>
    <n v="34134"/>
    <n v="6144.12"/>
    <m/>
  </r>
  <r>
    <n v="220"/>
    <s v="Computers"/>
    <x v="2"/>
    <s v="RakeshTradingCompany"/>
    <s v="RTC2425G14001"/>
    <d v="2024-12-26T00:00:00"/>
    <d v="2024-12-26T00:00:00"/>
    <m/>
    <x v="219"/>
    <x v="1"/>
    <m/>
    <m/>
    <m/>
    <m/>
    <m/>
  </r>
  <r>
    <n v="221"/>
    <s v="Computers"/>
    <x v="0"/>
    <s v="RakeshTradingCompany"/>
    <s v="RTC2425G14009"/>
    <d v="2024-12-31T00:00:00"/>
    <d v="2024-12-26T00:00:00"/>
    <m/>
    <x v="220"/>
    <x v="0"/>
    <m/>
    <m/>
    <n v="307875"/>
    <n v="55417.5"/>
    <m/>
  </r>
  <r>
    <n v="222"/>
    <s v="Computers"/>
    <x v="2"/>
    <s v="RakeshTradingCompany"/>
    <s v="RTC2425G14009"/>
    <d v="2024-12-31T00:00:00"/>
    <d v="2024-12-26T00:00:00"/>
    <m/>
    <x v="221"/>
    <x v="1"/>
    <m/>
    <m/>
    <n v="52542"/>
    <n v="9457.56"/>
    <m/>
  </r>
  <r>
    <n v="223"/>
    <s v="Computers"/>
    <x v="2"/>
    <s v="RakeshTradingCompany"/>
    <s v="RTC2425G14009"/>
    <d v="2024-12-31T00:00:00"/>
    <d v="2024-12-26T00:00:00"/>
    <m/>
    <x v="222"/>
    <x v="1"/>
    <m/>
    <m/>
    <m/>
    <m/>
    <m/>
  </r>
  <r>
    <n v="224"/>
    <s v="Computers"/>
    <x v="0"/>
    <s v="RakeshTradingCompany"/>
    <s v="RTC2425G14010"/>
    <d v="2024-12-31T00:00:00"/>
    <d v="2024-12-26T00:00:00"/>
    <m/>
    <x v="223"/>
    <x v="1"/>
    <m/>
    <m/>
    <n v="78100"/>
    <n v="14058"/>
    <m/>
  </r>
  <r>
    <n v="225"/>
    <s v="Computers"/>
    <x v="0"/>
    <s v="RakeshTradingCompany"/>
    <s v="RTC2425G14002"/>
    <d v="2024-12-31T00:00:00"/>
    <d v="2024-12-26T00:00:00"/>
    <m/>
    <x v="224"/>
    <x v="0"/>
    <m/>
    <m/>
    <n v="190524"/>
    <n v="34294.32"/>
    <m/>
  </r>
  <r>
    <n v="226"/>
    <s v="Computers"/>
    <x v="2"/>
    <s v="RakeshTradingCompany"/>
    <s v="RTC2425G14002"/>
    <d v="2024-12-31T00:00:00"/>
    <d v="2024-12-26T00:00:00"/>
    <m/>
    <x v="225"/>
    <x v="1"/>
    <m/>
    <m/>
    <n v="17067"/>
    <n v="3072.06"/>
    <m/>
  </r>
  <r>
    <n v="227"/>
    <s v="Computers"/>
    <x v="0"/>
    <s v="RakeshTradingCompany"/>
    <s v="RTC2425G14023"/>
    <d v="2025-01-01T00:00:00"/>
    <d v="2024-12-27T00:00:00"/>
    <m/>
    <x v="226"/>
    <x v="0"/>
    <m/>
    <m/>
    <n v="148715"/>
    <n v="26768.7"/>
    <m/>
  </r>
  <r>
    <n v="228"/>
    <s v="Computers"/>
    <x v="0"/>
    <s v="RakeshTradingCompany"/>
    <s v="RTC2425G14059"/>
    <d v="2025-01-01T00:00:00"/>
    <d v="2024-12-28T00:00:00"/>
    <m/>
    <x v="227"/>
    <x v="1"/>
    <m/>
    <m/>
    <n v="205324"/>
    <n v="36958.32"/>
    <m/>
  </r>
  <r>
    <n v="229"/>
    <s v="Computers"/>
    <x v="0"/>
    <s v="RakeshTradingCompany"/>
    <s v="RTC2425G14059"/>
    <d v="2025-01-01T00:00:00"/>
    <d v="2024-12-28T00:00:00"/>
    <m/>
    <x v="228"/>
    <x v="1"/>
    <m/>
    <m/>
    <m/>
    <m/>
    <m/>
  </r>
  <r>
    <n v="230"/>
    <s v="Computers"/>
    <x v="0"/>
    <s v="RakeshTradingCompany"/>
    <s v="RTC2425G13360"/>
    <d v="2025-01-01T00:00:00"/>
    <d v="2024-12-13T00:00:00"/>
    <m/>
    <x v="229"/>
    <x v="0"/>
    <m/>
    <m/>
    <n v="96567"/>
    <n v="17382.059999999998"/>
    <m/>
  </r>
  <r>
    <n v="231"/>
    <s v="Computers"/>
    <x v="0"/>
    <s v="RakeshTradingCompany"/>
    <s v="RTC2425G13360"/>
    <d v="2025-01-01T00:00:00"/>
    <d v="2024-12-13T00:00:00"/>
    <m/>
    <x v="230"/>
    <x v="0"/>
    <m/>
    <m/>
    <m/>
    <m/>
    <m/>
  </r>
  <r>
    <n v="232"/>
    <s v="Computers"/>
    <x v="0"/>
    <s v="RakeshTradingCompany"/>
    <s v="RTC2425G13353"/>
    <d v="2025-01-01T00:00:00"/>
    <d v="2024-12-13T00:00:00"/>
    <m/>
    <x v="231"/>
    <x v="0"/>
    <m/>
    <m/>
    <n v="207591"/>
    <n v="37366.379999999997"/>
    <m/>
  </r>
  <r>
    <n v="233"/>
    <s v="Computers"/>
    <x v="0"/>
    <s v="RakeshTradingCompany"/>
    <s v="RTC2425G13353"/>
    <d v="2025-01-01T00:00:00"/>
    <d v="2024-12-13T00:00:00"/>
    <m/>
    <x v="232"/>
    <x v="0"/>
    <m/>
    <m/>
    <m/>
    <m/>
    <m/>
  </r>
  <r>
    <n v="234"/>
    <s v="Computers"/>
    <x v="0"/>
    <s v="RakeshTradingCompany"/>
    <s v="RTC2425G14211"/>
    <d v="2025-01-02T00:00:00"/>
    <d v="2025-01-02T00:00:00"/>
    <m/>
    <x v="233"/>
    <x v="1"/>
    <m/>
    <m/>
    <n v="139330"/>
    <n v="25079.399999999998"/>
    <m/>
  </r>
  <r>
    <n v="235"/>
    <s v="Computers"/>
    <x v="0"/>
    <s v="RakeshTradingCompany"/>
    <s v="RTC2425G14212"/>
    <d v="2025-01-02T00:00:00"/>
    <d v="2025-01-02T00:00:00"/>
    <m/>
    <x v="234"/>
    <x v="1"/>
    <m/>
    <m/>
    <n v="139330"/>
    <n v="25079.399999999998"/>
    <m/>
  </r>
  <r>
    <n v="236"/>
    <s v="Computers"/>
    <x v="0"/>
    <s v="RakeshTradingCompany"/>
    <s v="RTC2425G14213"/>
    <d v="2025-01-02T00:00:00"/>
    <d v="2025-01-02T00:00:00"/>
    <m/>
    <x v="235"/>
    <x v="1"/>
    <m/>
    <m/>
    <n v="139330"/>
    <n v="25079.399999999998"/>
    <m/>
  </r>
  <r>
    <n v="237"/>
    <s v="Computers"/>
    <x v="0"/>
    <s v="RakeshTradingCompany"/>
    <s v="RTC2425G14539"/>
    <d v="2025-01-09T00:00:00"/>
    <d v="2025-01-09T00:00:00"/>
    <m/>
    <x v="236"/>
    <x v="0"/>
    <m/>
    <m/>
    <n v="224658"/>
    <n v="40438.439999999995"/>
    <m/>
  </r>
  <r>
    <n v="238"/>
    <s v="Computers"/>
    <x v="0"/>
    <s v="RakeshTradingCompany"/>
    <s v="RTC2425G14539"/>
    <d v="2025-01-09T00:00:00"/>
    <d v="2025-01-09T00:00:00"/>
    <m/>
    <x v="237"/>
    <x v="1"/>
    <m/>
    <m/>
    <m/>
    <m/>
    <m/>
  </r>
  <r>
    <n v="239"/>
    <s v="Computers"/>
    <x v="0"/>
    <s v="RakeshTradingCompany"/>
    <s v="RTC2425G14539"/>
    <d v="2025-01-09T00:00:00"/>
    <d v="2025-01-09T00:00:00"/>
    <m/>
    <x v="238"/>
    <x v="0"/>
    <m/>
    <m/>
    <m/>
    <m/>
    <m/>
  </r>
  <r>
    <n v="240"/>
    <s v="Computers"/>
    <x v="0"/>
    <s v="RakeshTradingCompany"/>
    <s v="RTC2425G15224"/>
    <d v="2025-01-22T00:00:00"/>
    <d v="2025-01-22T00:00:00"/>
    <m/>
    <x v="239"/>
    <x v="0"/>
    <m/>
    <m/>
    <n v="224658"/>
    <n v="40438.439999999995"/>
    <m/>
  </r>
  <r>
    <n v="241"/>
    <s v="Computers"/>
    <x v="0"/>
    <s v="RakeshTradingCompany"/>
    <s v="RTC2425G15224"/>
    <d v="2025-01-22T00:00:00"/>
    <d v="2025-01-22T00:00:00"/>
    <m/>
    <x v="240"/>
    <x v="0"/>
    <m/>
    <m/>
    <m/>
    <m/>
    <m/>
  </r>
  <r>
    <n v="242"/>
    <s v="Computers"/>
    <x v="0"/>
    <s v="RakeshTradingCompany"/>
    <s v="RTC2425G15224"/>
    <d v="2025-01-22T00:00:00"/>
    <d v="2025-01-22T00:00:00"/>
    <m/>
    <x v="241"/>
    <x v="0"/>
    <m/>
    <m/>
    <m/>
    <m/>
    <m/>
  </r>
  <r>
    <n v="243"/>
    <s v="Computers"/>
    <x v="0"/>
    <s v="RakeshTradingCompany"/>
    <s v="RTC2425G15605"/>
    <d v="2025-01-29T00:00:00"/>
    <d v="2025-01-29T00:00:00"/>
    <m/>
    <x v="242"/>
    <x v="1"/>
    <m/>
    <m/>
    <n v="190524"/>
    <n v="34294.32"/>
    <m/>
  </r>
  <r>
    <n v="244"/>
    <s v="Computers"/>
    <x v="0"/>
    <s v="RakeshTradingCompany"/>
    <s v="RTC2425G15606"/>
    <d v="2025-01-29T00:00:00"/>
    <d v="2025-01-29T00:00:00"/>
    <m/>
    <x v="243"/>
    <x v="0"/>
    <m/>
    <m/>
    <n v="190524"/>
    <n v="34294.32"/>
    <m/>
  </r>
  <r>
    <n v="245"/>
    <s v="Computers"/>
    <x v="0"/>
    <s v="RakeshTradingCompany"/>
    <s v="RTC2425G15608"/>
    <d v="2025-01-29T00:00:00"/>
    <d v="2025-01-29T00:00:00"/>
    <m/>
    <x v="244"/>
    <x v="0"/>
    <m/>
    <m/>
    <n v="224658"/>
    <n v="40438.439999999995"/>
    <m/>
  </r>
  <r>
    <n v="246"/>
    <s v="Computers"/>
    <x v="0"/>
    <s v="RakeshTradingCompany"/>
    <s v="RTC2425G15608"/>
    <d v="2025-01-29T00:00:00"/>
    <d v="2025-01-29T00:00:00"/>
    <m/>
    <x v="245"/>
    <x v="0"/>
    <m/>
    <m/>
    <m/>
    <m/>
    <m/>
  </r>
  <r>
    <n v="247"/>
    <s v="Computers"/>
    <x v="0"/>
    <s v="RakeshTradingCompany"/>
    <s v="RTC2425G15608"/>
    <d v="2025-01-29T00:00:00"/>
    <d v="2025-01-29T00:00:00"/>
    <m/>
    <x v="246"/>
    <x v="0"/>
    <m/>
    <m/>
    <m/>
    <m/>
    <m/>
  </r>
  <r>
    <n v="248"/>
    <s v="Computers"/>
    <x v="0"/>
    <s v="RakeshTradingCompany"/>
    <s v="RTC2425G15626"/>
    <d v="2025-01-29T00:00:00"/>
    <d v="2025-01-29T00:00:00"/>
    <m/>
    <x v="247"/>
    <x v="1"/>
    <m/>
    <m/>
    <n v="224658"/>
    <n v="40438.439999999995"/>
    <m/>
  </r>
  <r>
    <n v="249"/>
    <s v="Computers"/>
    <x v="0"/>
    <s v="RakeshTradingCompany"/>
    <s v="RTC2425G15626"/>
    <d v="2025-01-29T00:00:00"/>
    <d v="2025-01-29T00:00:00"/>
    <m/>
    <x v="248"/>
    <x v="1"/>
    <m/>
    <m/>
    <m/>
    <m/>
    <m/>
  </r>
  <r>
    <n v="250"/>
    <s v="Computers"/>
    <x v="0"/>
    <s v="RakeshTradingCompany"/>
    <s v="RTC2425G15626"/>
    <d v="2025-01-29T00:00:00"/>
    <d v="2025-01-29T00:00:00"/>
    <m/>
    <x v="249"/>
    <x v="1"/>
    <m/>
    <m/>
    <m/>
    <m/>
    <m/>
  </r>
  <r>
    <n v="251"/>
    <s v="Computers"/>
    <x v="0"/>
    <s v="RakeshTradingCompany"/>
    <s v="CN2425G154"/>
    <d v="2025-01-31T00:00:00"/>
    <d v="2025-01-31T00:00:00"/>
    <m/>
    <x v="250"/>
    <x v="1"/>
    <m/>
    <m/>
    <n v="-190524"/>
    <n v="-34294.32"/>
    <m/>
  </r>
  <r>
    <n v="252"/>
    <s v="Computers"/>
    <x v="0"/>
    <s v="RakeshTradingCompany"/>
    <s v="RTC2425G16083"/>
    <d v="2025-02-05T00:00:00"/>
    <d v="2025-02-05T00:00:00"/>
    <m/>
    <x v="251"/>
    <x v="0"/>
    <m/>
    <m/>
    <n v="190524"/>
    <n v="34294.32"/>
    <m/>
  </r>
  <r>
    <n v="253"/>
    <s v="Computers"/>
    <x v="2"/>
    <s v="RakeshTradingCompany"/>
    <s v="RTC2425G16083"/>
    <d v="2025-02-05T00:00:00"/>
    <d v="2025-02-05T00:00:00"/>
    <m/>
    <x v="252"/>
    <x v="0"/>
    <m/>
    <m/>
    <n v="34134"/>
    <n v="6144.12"/>
    <m/>
  </r>
  <r>
    <n v="254"/>
    <s v="Computers"/>
    <x v="2"/>
    <s v="RakeshTradingCompany"/>
    <s v="RTC2425G16083"/>
    <d v="2025-02-05T00:00:00"/>
    <d v="2025-02-05T00:00:00"/>
    <m/>
    <x v="253"/>
    <x v="0"/>
    <m/>
    <m/>
    <m/>
    <m/>
    <m/>
  </r>
  <r>
    <n v="255"/>
    <s v="Computers"/>
    <x v="0"/>
    <s v="RakeshTradingCompany"/>
    <s v="RTC2425G16627"/>
    <d v="2025-02-05T00:00:00"/>
    <d v="2025-02-14T00:00:00"/>
    <m/>
    <x v="254"/>
    <x v="1"/>
    <m/>
    <m/>
    <n v="190524"/>
    <n v="34294.32"/>
    <m/>
  </r>
  <r>
    <n v="256"/>
    <s v="Computers"/>
    <x v="2"/>
    <s v="RakeshTradingCompany"/>
    <s v="RTC2425G16627"/>
    <d v="2025-02-05T00:00:00"/>
    <d v="2025-02-05T00:00:00"/>
    <m/>
    <x v="255"/>
    <x v="1"/>
    <m/>
    <m/>
    <n v="34134"/>
    <n v="6144.12"/>
    <m/>
  </r>
  <r>
    <n v="257"/>
    <s v="Computers"/>
    <x v="2"/>
    <s v="RakeshTradingCompany"/>
    <s v="RTC2425G16627"/>
    <d v="2025-02-05T00:00:00"/>
    <d v="2025-02-05T00:00:00"/>
    <m/>
    <x v="256"/>
    <x v="1"/>
    <m/>
    <m/>
    <m/>
    <m/>
    <m/>
  </r>
  <r>
    <n v="258"/>
    <s v="Computers"/>
    <x v="0"/>
    <s v="RakeshTradingCompany"/>
    <s v="RTC2425G16084"/>
    <d v="2025-02-05T00:00:00"/>
    <d v="2025-02-05T00:00:00"/>
    <m/>
    <x v="257"/>
    <x v="1"/>
    <m/>
    <m/>
    <n v="190524"/>
    <n v="34294.32"/>
    <m/>
  </r>
  <r>
    <n v="259"/>
    <s v="Computers"/>
    <x v="2"/>
    <s v="RakeshTradingCompany"/>
    <s v="RTC2425G16084"/>
    <d v="2025-02-05T00:00:00"/>
    <d v="2025-02-05T00:00:00"/>
    <m/>
    <x v="258"/>
    <x v="0"/>
    <m/>
    <m/>
    <n v="17067"/>
    <n v="3072.06"/>
    <m/>
  </r>
  <r>
    <n v="260"/>
    <s v="Computers"/>
    <x v="0"/>
    <s v="RakeshTradingCompany"/>
    <s v="RTC2425G16082"/>
    <d v="2025-02-05T00:00:00"/>
    <d v="2025-02-05T00:00:00"/>
    <m/>
    <x v="259"/>
    <x v="1"/>
    <m/>
    <m/>
    <n v="190524"/>
    <n v="34294.32"/>
    <m/>
  </r>
  <r>
    <n v="261"/>
    <s v="Computers"/>
    <x v="2"/>
    <s v="RakeshTradingCompany"/>
    <s v="RTC2425G16082"/>
    <d v="2025-02-05T00:00:00"/>
    <d v="2025-02-05T00:00:00"/>
    <m/>
    <x v="260"/>
    <x v="1"/>
    <m/>
    <m/>
    <n v="34134"/>
    <n v="6144.12"/>
    <m/>
  </r>
  <r>
    <n v="262"/>
    <s v="Computers"/>
    <x v="2"/>
    <s v="RakeshTradingCompany"/>
    <s v="RTC2425G16082"/>
    <d v="2025-02-05T00:00:00"/>
    <d v="2025-02-05T00:00:00"/>
    <m/>
    <x v="261"/>
    <x v="1"/>
    <m/>
    <m/>
    <m/>
    <m/>
    <m/>
  </r>
  <r>
    <n v="263"/>
    <s v="Computers"/>
    <x v="0"/>
    <s v="RakeshTradingCompany"/>
    <s v="RTC2425G16113"/>
    <d v="2025-02-06T00:00:00"/>
    <d v="2025-02-06T00:00:00"/>
    <m/>
    <x v="262"/>
    <x v="1"/>
    <m/>
    <m/>
    <n v="190524"/>
    <n v="34294.32"/>
    <m/>
  </r>
  <r>
    <n v="264"/>
    <s v="Computers"/>
    <x v="0"/>
    <s v="RakeshTradingCompany"/>
    <s v="CN2425G156"/>
    <d v="2025-02-06T00:00:00"/>
    <d v="2025-02-06T00:00:00"/>
    <m/>
    <x v="263"/>
    <x v="1"/>
    <m/>
    <m/>
    <n v="-190524"/>
    <n v="-34294.32"/>
    <m/>
  </r>
  <r>
    <n v="265"/>
    <s v="Computers"/>
    <x v="0"/>
    <s v="RakeshTradingCompany"/>
    <s v="CN2425G156"/>
    <d v="2025-02-06T00:00:00"/>
    <d v="2025-02-06T00:00:00"/>
    <m/>
    <x v="264"/>
    <x v="1"/>
    <m/>
    <m/>
    <n v="-34134"/>
    <n v="-6144.12"/>
    <m/>
  </r>
  <r>
    <n v="266"/>
    <s v="Computers"/>
    <x v="0"/>
    <s v="RakeshTradingCompany"/>
    <s v="CN2425G156"/>
    <d v="2025-02-06T00:00:00"/>
    <d v="2025-02-06T00:00:00"/>
    <m/>
    <x v="265"/>
    <x v="1"/>
    <m/>
    <m/>
    <m/>
    <m/>
    <m/>
  </r>
  <r>
    <n v="267"/>
    <s v="Computers"/>
    <x v="0"/>
    <s v="RakeshTradingCompany"/>
    <s v="RTC2425G16546"/>
    <d v="2025-02-13T00:00:00"/>
    <d v="2025-02-13T00:00:00"/>
    <m/>
    <x v="266"/>
    <x v="1"/>
    <m/>
    <m/>
    <n v="148715"/>
    <n v="26768.7"/>
    <m/>
  </r>
  <r>
    <n v="268"/>
    <s v="Computers"/>
    <x v="0"/>
    <s v="RakeshTradingCompany"/>
    <s v="RTC2425G17880"/>
    <d v="2025-03-08T00:00:00"/>
    <d v="2025-03-08T00:00:00"/>
    <m/>
    <x v="267"/>
    <x v="0"/>
    <m/>
    <m/>
    <n v="69237.289999999994"/>
    <n v="12462.712199999998"/>
    <m/>
  </r>
  <r>
    <n v="269"/>
    <s v="Computers"/>
    <x v="0"/>
    <s v="RakeshTradingCompany"/>
    <s v="RTC2425G17886"/>
    <d v="2025-03-08T00:00:00"/>
    <d v="2025-03-08T00:00:00"/>
    <m/>
    <x v="268"/>
    <x v="1"/>
    <m/>
    <m/>
    <n v="190524"/>
    <n v="34294.32"/>
    <m/>
  </r>
  <r>
    <n v="270"/>
    <s v="Computers"/>
    <x v="0"/>
    <s v="RakeshTradingCompany"/>
    <s v="RTC2425G17882"/>
    <d v="2025-03-08T00:00:00"/>
    <d v="2025-03-08T00:00:00"/>
    <m/>
    <x v="269"/>
    <x v="0"/>
    <m/>
    <m/>
    <n v="190524"/>
    <n v="34294.32"/>
    <m/>
  </r>
  <r>
    <n v="271"/>
    <s v="Computers"/>
    <x v="2"/>
    <s v="RakeshTradingCompany"/>
    <s v="RTC2425G17882"/>
    <d v="2025-03-08T00:00:00"/>
    <d v="2025-03-08T00:00:00"/>
    <m/>
    <x v="270"/>
    <x v="0"/>
    <m/>
    <m/>
    <n v="34134"/>
    <n v="6144.12"/>
    <m/>
  </r>
  <r>
    <n v="272"/>
    <s v="Computers"/>
    <x v="2"/>
    <s v="RakeshTradingCompany"/>
    <s v="RTC2425G17882"/>
    <d v="2025-03-08T00:00:00"/>
    <d v="2025-03-08T00:00:00"/>
    <m/>
    <x v="271"/>
    <x v="0"/>
    <m/>
    <m/>
    <m/>
    <m/>
    <m/>
  </r>
  <r>
    <n v="273"/>
    <s v="Computers"/>
    <x v="0"/>
    <s v="RakeshTradingCompany"/>
    <s v="RTC2425G17881"/>
    <d v="2025-03-08T00:00:00"/>
    <d v="2025-03-08T00:00:00"/>
    <m/>
    <x v="272"/>
    <x v="0"/>
    <m/>
    <m/>
    <n v="190524"/>
    <n v="34294.32"/>
    <m/>
  </r>
  <r>
    <n v="274"/>
    <s v="Computers"/>
    <x v="0"/>
    <s v="RakeshTradingCompany"/>
    <s v="RTC2425G18350"/>
    <d v="2025-03-17T00:00:00"/>
    <d v="2025-03-17T00:00:00"/>
    <m/>
    <x v="273"/>
    <x v="0"/>
    <m/>
    <m/>
    <n v="190524"/>
    <n v="34294.32"/>
    <m/>
  </r>
  <r>
    <n v="275"/>
    <s v="Computers"/>
    <x v="0"/>
    <s v="RakeshTradingCompany"/>
    <s v="RTC2425G18422"/>
    <d v="2025-03-18T00:00:00"/>
    <d v="2025-03-18T00:00:00"/>
    <m/>
    <x v="274"/>
    <x v="0"/>
    <m/>
    <m/>
    <n v="190524"/>
    <n v="34294.32"/>
    <m/>
  </r>
  <r>
    <n v="276"/>
    <s v="Computers"/>
    <x v="2"/>
    <s v="RakeshTradingCompany"/>
    <s v="RTC2425G18422"/>
    <d v="2025-03-18T00:00:00"/>
    <d v="2025-03-18T00:00:00"/>
    <m/>
    <x v="275"/>
    <x v="1"/>
    <m/>
    <m/>
    <n v="34134"/>
    <n v="6144.12"/>
    <m/>
  </r>
  <r>
    <n v="277"/>
    <s v="Computers"/>
    <x v="2"/>
    <s v="RakeshTradingCompany"/>
    <s v="RTC2425G18422"/>
    <d v="2025-03-18T00:00:00"/>
    <d v="2025-03-18T00:00:00"/>
    <m/>
    <x v="276"/>
    <x v="1"/>
    <m/>
    <m/>
    <m/>
    <m/>
    <m/>
  </r>
  <r>
    <n v="278"/>
    <s v="Computers"/>
    <x v="0"/>
    <s v="RakeshTradingCompany"/>
    <s v="RTC2425G18420"/>
    <d v="2025-03-19T00:00:00"/>
    <d v="2025-03-18T00:00:00"/>
    <m/>
    <x v="277"/>
    <x v="0"/>
    <m/>
    <m/>
    <n v="190524"/>
    <n v="34294.32"/>
    <m/>
  </r>
  <r>
    <n v="279"/>
    <s v="Computers"/>
    <x v="0"/>
    <s v="RakeshTradingCompany"/>
    <s v="RTC2425G18808"/>
    <d v="2025-03-24T00:00:00"/>
    <d v="2025-03-24T00:00:00"/>
    <m/>
    <x v="278"/>
    <x v="0"/>
    <m/>
    <m/>
    <n v="190524"/>
    <n v="34294.32"/>
    <m/>
  </r>
  <r>
    <n v="280"/>
    <s v="Computers"/>
    <x v="2"/>
    <s v="RakeshTradingCompany"/>
    <s v="RTC2425G18808"/>
    <d v="2025-03-24T00:00:00"/>
    <d v="2025-03-24T00:00:00"/>
    <m/>
    <x v="279"/>
    <x v="0"/>
    <m/>
    <m/>
    <n v="24500"/>
    <n v="4410"/>
    <m/>
  </r>
  <r>
    <n v="281"/>
    <s v="Computers"/>
    <x v="2"/>
    <s v="RakeshTradingCompany"/>
    <s v="RTC2425G19042"/>
    <d v="2025-03-27T00:00:00"/>
    <d v="2025-03-27T00:00:00"/>
    <m/>
    <x v="280"/>
    <x v="0"/>
    <m/>
    <m/>
    <n v="26750"/>
    <n v="4815"/>
    <m/>
  </r>
  <r>
    <n v="282"/>
    <s v="Computers"/>
    <x v="0"/>
    <s v="RakeshTradingCompany"/>
    <s v="RTC2526G277"/>
    <d v="2025-04-04T00:00:00"/>
    <d v="2025-04-04T00:00:00"/>
    <m/>
    <x v="281"/>
    <x v="0"/>
    <m/>
    <m/>
    <n v="190524"/>
    <n v="34294.32"/>
    <m/>
  </r>
  <r>
    <n v="283"/>
    <s v="Computers"/>
    <x v="0"/>
    <s v="RakeshTradingCompany"/>
    <s v="RTC2526G265"/>
    <d v="2025-04-04T00:00:00"/>
    <d v="2025-04-04T00:00:00"/>
    <m/>
    <x v="282"/>
    <x v="1"/>
    <m/>
    <m/>
    <n v="190524"/>
    <n v="34294.32"/>
    <m/>
  </r>
  <r>
    <n v="284"/>
    <s v="Computers"/>
    <x v="2"/>
    <s v="RakeshTradingCompany"/>
    <s v="RTC2526G265"/>
    <d v="2025-04-04T00:00:00"/>
    <d v="2025-04-04T00:00:00"/>
    <m/>
    <x v="283"/>
    <x v="1"/>
    <m/>
    <m/>
    <n v="34134"/>
    <n v="6144.12"/>
    <m/>
  </r>
  <r>
    <n v="285"/>
    <s v="Computers"/>
    <x v="2"/>
    <s v="RakeshTradingCompany"/>
    <s v="RTC2526G265"/>
    <d v="2025-04-04T00:00:00"/>
    <d v="2025-04-04T00:00:00"/>
    <m/>
    <x v="284"/>
    <x v="1"/>
    <m/>
    <m/>
    <m/>
    <m/>
    <m/>
  </r>
  <r>
    <n v="286"/>
    <s v="Computers"/>
    <x v="0"/>
    <s v="RakeshTradingCompany"/>
    <s v="RTC2526G605"/>
    <d v="2025-04-10T00:00:00"/>
    <d v="2025-04-10T00:00:00"/>
    <m/>
    <x v="285"/>
    <x v="0"/>
    <m/>
    <m/>
    <n v="268624"/>
    <n v="48352.32"/>
    <m/>
  </r>
  <r>
    <n v="287"/>
    <s v="Computers"/>
    <x v="0"/>
    <s v="RakeshTradingCompany"/>
    <s v="RTC2526G605"/>
    <d v="2025-04-10T00:00:00"/>
    <d v="2025-04-10T00:00:00"/>
    <m/>
    <x v="286"/>
    <x v="0"/>
    <m/>
    <m/>
    <m/>
    <m/>
    <m/>
  </r>
  <r>
    <n v="288"/>
    <s v="Computers"/>
    <x v="0"/>
    <s v="RakeshTradingCompany"/>
    <s v="RTC2526G1051"/>
    <d v="2025-04-17T00:00:00"/>
    <d v="2025-04-17T00:00:00"/>
    <m/>
    <x v="287"/>
    <x v="0"/>
    <m/>
    <m/>
    <n v="190524"/>
    <n v="34294.32"/>
    <m/>
  </r>
  <r>
    <n v="289"/>
    <s v="Computers"/>
    <x v="0"/>
    <s v="RakeshTradingCompany"/>
    <s v="RTC2526G1102"/>
    <d v="2025-04-18T00:00:00"/>
    <d v="2025-04-18T00:00:00"/>
    <m/>
    <x v="288"/>
    <x v="1"/>
    <m/>
    <m/>
    <n v="190524"/>
    <n v="34294.32"/>
    <m/>
  </r>
  <r>
    <n v="290"/>
    <s v="Computers"/>
    <x v="2"/>
    <s v="RakeshTradingCompany"/>
    <s v="RTC2526G1102"/>
    <d v="2025-04-18T00:00:00"/>
    <d v="2025-04-18T00:00:00"/>
    <m/>
    <x v="289"/>
    <x v="1"/>
    <m/>
    <m/>
    <n v="35200"/>
    <n v="6336"/>
    <m/>
  </r>
  <r>
    <n v="291"/>
    <s v="Computers"/>
    <x v="2"/>
    <s v="RakeshTradingCompany"/>
    <s v="RTC2526G1102"/>
    <d v="2025-04-18T00:00:00"/>
    <d v="2025-04-18T00:00:00"/>
    <m/>
    <x v="290"/>
    <x v="1"/>
    <m/>
    <m/>
    <m/>
    <m/>
    <m/>
  </r>
  <r>
    <n v="292"/>
    <s v="Computers"/>
    <x v="2"/>
    <s v="RakeshTradingCompany"/>
    <s v="RTC2526G1097"/>
    <d v="2025-04-18T00:00:00"/>
    <d v="2025-04-18T00:00:00"/>
    <m/>
    <x v="291"/>
    <x v="1"/>
    <m/>
    <m/>
    <n v="35200"/>
    <n v="6336"/>
    <m/>
  </r>
  <r>
    <n v="293"/>
    <s v="Computers"/>
    <x v="2"/>
    <s v="RakeshTradingCompany"/>
    <s v="RTC2526G1097"/>
    <d v="2025-04-18T00:00:00"/>
    <d v="2025-04-18T00:00:00"/>
    <m/>
    <x v="292"/>
    <x v="1"/>
    <m/>
    <m/>
    <m/>
    <m/>
    <m/>
  </r>
  <r>
    <n v="294"/>
    <s v="Computers"/>
    <x v="0"/>
    <s v="RakeshTradingCompany"/>
    <s v="RTC2526G1209"/>
    <d v="2025-04-21T00:00:00"/>
    <d v="2025-04-21T00:00:00"/>
    <m/>
    <x v="293"/>
    <x v="1"/>
    <m/>
    <m/>
    <n v="190524"/>
    <n v="34294.32"/>
    <m/>
  </r>
  <r>
    <n v="295"/>
    <s v="Computers"/>
    <x v="2"/>
    <s v="RakeshTradingCompany"/>
    <s v="RTC2526G1209"/>
    <d v="2025-04-21T00:00:00"/>
    <d v="2025-04-21T00:00:00"/>
    <m/>
    <x v="294"/>
    <x v="1"/>
    <m/>
    <m/>
    <n v="35200"/>
    <n v="6336"/>
    <m/>
  </r>
  <r>
    <n v="296"/>
    <s v="Computers"/>
    <x v="2"/>
    <s v="RakeshTradingCompany"/>
    <s v="RTC2526G1209"/>
    <d v="2025-04-21T00:00:00"/>
    <d v="2025-04-21T00:00:00"/>
    <m/>
    <x v="295"/>
    <x v="1"/>
    <m/>
    <m/>
    <m/>
    <m/>
    <m/>
  </r>
  <r>
    <n v="297"/>
    <s v="Computers"/>
    <x v="0"/>
    <s v="RakeshTradingCompany"/>
    <s v="RTC2526G1210"/>
    <d v="2025-04-21T00:00:00"/>
    <d v="2025-04-21T00:00:00"/>
    <m/>
    <x v="296"/>
    <x v="0"/>
    <m/>
    <m/>
    <n v="190524"/>
    <n v="34294.32"/>
    <m/>
  </r>
  <r>
    <n v="298"/>
    <s v="Computers"/>
    <x v="2"/>
    <s v="RakeshTradingCompany"/>
    <s v="RTC2526G1210"/>
    <d v="2025-04-21T00:00:00"/>
    <d v="2025-04-21T00:00:00"/>
    <m/>
    <x v="297"/>
    <x v="0"/>
    <m/>
    <m/>
    <n v="35200"/>
    <n v="6336"/>
    <m/>
  </r>
  <r>
    <n v="299"/>
    <s v="Computers"/>
    <x v="2"/>
    <s v="RakeshTradingCompany"/>
    <s v="RTC2526G1210"/>
    <d v="2025-04-21T00:00:00"/>
    <d v="2025-04-21T00:00:00"/>
    <m/>
    <x v="298"/>
    <x v="0"/>
    <m/>
    <m/>
    <m/>
    <m/>
    <m/>
  </r>
  <r>
    <n v="300"/>
    <s v="Computers"/>
    <x v="0"/>
    <s v="RakeshTradingCompany"/>
    <s v="RTC2526G1362"/>
    <d v="2025-04-23T00:00:00"/>
    <d v="2025-04-23T00:00:00"/>
    <m/>
    <x v="299"/>
    <x v="0"/>
    <m/>
    <m/>
    <n v="190524"/>
    <n v="34294.32"/>
    <m/>
  </r>
  <r>
    <n v="301"/>
    <s v="Computers"/>
    <x v="2"/>
    <s v="RakeshTradingCompany"/>
    <s v="RTC2526G1362"/>
    <d v="2025-04-23T00:00:00"/>
    <d v="2025-04-23T00:00:00"/>
    <m/>
    <x v="300"/>
    <x v="0"/>
    <m/>
    <m/>
    <n v="35200"/>
    <n v="6336"/>
    <m/>
  </r>
  <r>
    <n v="302"/>
    <s v="Computers"/>
    <x v="2"/>
    <s v="RakeshTradingCompany"/>
    <s v="RTC2526G1362"/>
    <d v="2025-04-23T00:00:00"/>
    <d v="2025-04-23T00:00:00"/>
    <m/>
    <x v="301"/>
    <x v="1"/>
    <m/>
    <m/>
    <m/>
    <m/>
    <m/>
  </r>
  <r>
    <n v="303"/>
    <s v="Computers"/>
    <x v="0"/>
    <s v="RakeshTradingCompany"/>
    <s v="RTC2526G1667"/>
    <d v="2025-04-28T00:00:00"/>
    <d v="2025-04-28T00:00:00"/>
    <m/>
    <x v="302"/>
    <x v="1"/>
    <m/>
    <m/>
    <n v="190524"/>
    <n v="34294.32"/>
    <m/>
  </r>
  <r>
    <n v="304"/>
    <s v="Computers"/>
    <x v="0"/>
    <s v="RakeshTradingCompany"/>
    <s v="RTC2526G1668"/>
    <d v="2025-04-28T00:00:00"/>
    <d v="2025-04-28T00:00:00"/>
    <m/>
    <x v="303"/>
    <x v="1"/>
    <m/>
    <m/>
    <n v="190524"/>
    <n v="34294.32"/>
    <m/>
  </r>
  <r>
    <n v="305"/>
    <s v="Computers"/>
    <x v="0"/>
    <s v="RakeshTradingCompany"/>
    <s v="RTC2526G1823"/>
    <d v="2025-05-02T00:00:00"/>
    <d v="2025-05-02T00:00:00"/>
    <m/>
    <x v="304"/>
    <x v="1"/>
    <m/>
    <m/>
    <n v="79200"/>
    <n v="14256"/>
    <m/>
  </r>
  <r>
    <n v="306"/>
    <s v="Computers"/>
    <x v="0"/>
    <s v="RakeshTradingCompany"/>
    <s v="RTC2526G1824"/>
    <d v="2025-05-02T00:00:00"/>
    <d v="2025-05-02T00:00:00"/>
    <m/>
    <x v="305"/>
    <x v="1"/>
    <m/>
    <m/>
    <n v="79200"/>
    <n v="14256"/>
    <m/>
  </r>
  <r>
    <n v="307"/>
    <s v="Computers"/>
    <x v="0"/>
    <s v="RakeshTradingCompany"/>
    <s v="RTC2526G1822"/>
    <d v="2025-05-02T00:00:00"/>
    <d v="2025-05-02T00:00:00"/>
    <m/>
    <x v="306"/>
    <x v="1"/>
    <m/>
    <m/>
    <n v="79200"/>
    <n v="14256"/>
    <m/>
  </r>
  <r>
    <n v="308"/>
    <s v="Computers"/>
    <x v="0"/>
    <s v="RakeshTradingCompany"/>
    <s v="RTC2526G1805"/>
    <d v="2025-05-02T00:00:00"/>
    <d v="2025-05-02T00:00:00"/>
    <m/>
    <x v="307"/>
    <x v="1"/>
    <m/>
    <m/>
    <n v="79200"/>
    <n v="14256"/>
    <m/>
  </r>
  <r>
    <n v="309"/>
    <s v="Computers"/>
    <x v="0"/>
    <s v="RakeshTradingCompany"/>
    <s v="RTC2526G1804"/>
    <d v="2025-05-02T00:00:00"/>
    <d v="2025-05-02T00:00:00"/>
    <m/>
    <x v="308"/>
    <x v="1"/>
    <m/>
    <m/>
    <n v="79200"/>
    <n v="14256"/>
    <m/>
  </r>
  <r>
    <n v="310"/>
    <s v="Computers"/>
    <x v="0"/>
    <s v="RakeshTradingCompany"/>
    <s v="RTC2526G2487"/>
    <d v="2025-05-14T00:00:00"/>
    <d v="2025-05-14T00:00:00"/>
    <m/>
    <x v="309"/>
    <x v="0"/>
    <m/>
    <m/>
    <n v="190524"/>
    <n v="34294.32"/>
    <m/>
  </r>
  <r>
    <n v="311"/>
    <s v="Computers"/>
    <x v="0"/>
    <s v="RakeshTradingCompany"/>
    <s v="RTC2526G2488"/>
    <d v="2025-05-14T00:00:00"/>
    <d v="2025-05-14T00:00:00"/>
    <m/>
    <x v="310"/>
    <x v="0"/>
    <m/>
    <m/>
    <n v="190524"/>
    <n v="34294.32"/>
    <m/>
  </r>
  <r>
    <n v="312"/>
    <s v="Computers"/>
    <x v="0"/>
    <s v="RakeshTradingCompany"/>
    <s v="RTC2526G2489"/>
    <d v="2025-05-14T00:00:00"/>
    <d v="2025-05-14T00:00:00"/>
    <m/>
    <x v="311"/>
    <x v="0"/>
    <m/>
    <m/>
    <n v="190524"/>
    <n v="34294.32"/>
    <m/>
  </r>
  <r>
    <n v="313"/>
    <s v="Computers"/>
    <x v="0"/>
    <s v="RakeshTradingCompany"/>
    <s v="RTC2526G2491"/>
    <d v="2025-05-14T00:00:00"/>
    <d v="2025-05-14T00:00:00"/>
    <m/>
    <x v="312"/>
    <x v="0"/>
    <m/>
    <m/>
    <n v="76911"/>
    <n v="13843.98"/>
    <m/>
  </r>
  <r>
    <n v="314"/>
    <s v="Computers"/>
    <x v="0"/>
    <s v="RakeshTradingCompany"/>
    <s v="RTC2526G2492"/>
    <d v="2025-05-14T00:00:00"/>
    <d v="2025-05-14T00:00:00"/>
    <m/>
    <x v="313"/>
    <x v="0"/>
    <m/>
    <m/>
    <n v="190524"/>
    <n v="34294.32"/>
    <m/>
  </r>
  <r>
    <n v="315"/>
    <s v="Computers"/>
    <x v="0"/>
    <s v="RakeshTradingCompany"/>
    <s v="RTC2526G2490"/>
    <d v="2025-05-14T00:00:00"/>
    <d v="2025-05-14T00:00:00"/>
    <m/>
    <x v="314"/>
    <x v="0"/>
    <m/>
    <m/>
    <n v="190524"/>
    <n v="34294.32"/>
    <m/>
  </r>
  <r>
    <n v="316"/>
    <s v="Computers"/>
    <x v="0"/>
    <s v="RakeshTradingCompany"/>
    <s v="RTC2526G2893"/>
    <d v="2025-05-21T00:00:00"/>
    <d v="2025-05-21T00:00:00"/>
    <m/>
    <x v="315"/>
    <x v="0"/>
    <m/>
    <m/>
    <n v="190524"/>
    <n v="34294.32"/>
    <m/>
  </r>
  <r>
    <n v="317"/>
    <s v="Computers"/>
    <x v="0"/>
    <s v="RakeshTradingCompany"/>
    <s v="RTC2526G3357"/>
    <d v="2025-05-29T00:00:00"/>
    <d v="2025-05-29T00:00:00"/>
    <m/>
    <x v="316"/>
    <x v="0"/>
    <m/>
    <m/>
    <n v="190524"/>
    <n v="34294.32"/>
    <m/>
  </r>
  <r>
    <n v="318"/>
    <s v="Computers"/>
    <x v="0"/>
    <s v="RakeshTradingCompany"/>
    <s v="RTC2526G3445"/>
    <d v="2025-05-30T00:00:00"/>
    <d v="2025-05-30T00:00:00"/>
    <m/>
    <x v="317"/>
    <x v="1"/>
    <m/>
    <m/>
    <n v="190524"/>
    <n v="34294.32"/>
    <m/>
  </r>
  <r>
    <n v="319"/>
    <s v="Computers"/>
    <x v="0"/>
    <s v="RakeshTradingCompany"/>
    <s v="RTC2526G3446"/>
    <d v="2025-05-30T00:00:00"/>
    <d v="2025-05-30T00:00:00"/>
    <m/>
    <x v="318"/>
    <x v="0"/>
    <m/>
    <m/>
    <n v="190524"/>
    <n v="34294.32"/>
    <m/>
  </r>
  <r>
    <n v="320"/>
    <s v="Computers"/>
    <x v="0"/>
    <s v="RakeshTradingCompany"/>
    <s v="RTC2526G3708"/>
    <d v="2025-06-03T00:00:00"/>
    <d v="2025-06-03T00:00:00"/>
    <m/>
    <x v="319"/>
    <x v="0"/>
    <m/>
    <m/>
    <n v="190524"/>
    <n v="34294.32"/>
    <m/>
  </r>
  <r>
    <n v="321"/>
    <s v="Computers"/>
    <x v="0"/>
    <s v="RakeshTradingCompany"/>
    <s v="RTC2526G4375"/>
    <d v="2025-06-13T00:00:00"/>
    <d v="2025-06-13T00:00:00"/>
    <m/>
    <x v="320"/>
    <x v="0"/>
    <m/>
    <m/>
    <n v="381048"/>
    <n v="68588.639999999999"/>
    <m/>
  </r>
  <r>
    <n v="322"/>
    <s v="Computers"/>
    <x v="0"/>
    <s v="RakeshTradingCompany"/>
    <s v="RTC2526G4375"/>
    <d v="2025-06-13T00:00:00"/>
    <d v="2025-06-13T00:00:00"/>
    <m/>
    <x v="321"/>
    <x v="0"/>
    <m/>
    <m/>
    <m/>
    <m/>
    <m/>
  </r>
  <r>
    <n v="323"/>
    <s v="Computers"/>
    <x v="0"/>
    <s v="RakeshTradingCompany"/>
    <s v="RTC2526G4676"/>
    <d v="2025-06-18T00:00:00"/>
    <d v="2025-06-18T00:00:00"/>
    <m/>
    <x v="322"/>
    <x v="1"/>
    <m/>
    <m/>
    <n v="190524"/>
    <n v="34294.32"/>
    <m/>
  </r>
  <r>
    <n v="324"/>
    <s v="Computers"/>
    <x v="2"/>
    <s v="RakeshTradingCompany"/>
    <s v="RTC2526G4676"/>
    <d v="2025-06-18T00:00:00"/>
    <d v="2025-06-18T00:00:00"/>
    <m/>
    <x v="323"/>
    <x v="0"/>
    <m/>
    <m/>
    <n v="27800"/>
    <n v="5004"/>
    <m/>
  </r>
  <r>
    <n v="325"/>
    <s v="Computers"/>
    <x v="0"/>
    <s v="Bluehill"/>
    <s v="G/25-26/068"/>
    <d v="2025-06-23T00:00:00"/>
    <d v="2025-06-23T00:00:00"/>
    <m/>
    <x v="324"/>
    <x v="1"/>
    <m/>
    <m/>
    <n v="213941"/>
    <n v="38509.379999999997"/>
    <m/>
  </r>
  <r>
    <n v="326"/>
    <s v="Computers"/>
    <x v="0"/>
    <s v="RakeshTradingCompany"/>
    <s v="RTC2526G5426"/>
    <d v="2025-06-30T00:00:00"/>
    <d v="2025-06-30T00:00:00"/>
    <m/>
    <x v="325"/>
    <x v="0"/>
    <m/>
    <m/>
    <n v="190524"/>
    <n v="34294.32"/>
    <m/>
  </r>
  <r>
    <n v="327"/>
    <s v="Computers"/>
    <x v="2"/>
    <s v="RakeshTradingCompany"/>
    <s v="RTC2526G5463"/>
    <d v="2025-06-30T00:00:00"/>
    <d v="2025-06-30T00:00:00"/>
    <m/>
    <x v="326"/>
    <x v="1"/>
    <m/>
    <m/>
    <n v="17600"/>
    <n v="3168"/>
    <m/>
  </r>
  <r>
    <n v="328"/>
    <s v="Computers"/>
    <x v="0"/>
    <s v="RakeshTradingCompany"/>
    <s v="RTC2526G5756"/>
    <d v="2025-07-04T00:00:00"/>
    <d v="2025-07-04T00:00:00"/>
    <m/>
    <x v="327"/>
    <x v="0"/>
    <m/>
    <m/>
    <n v="190524"/>
    <n v="34294.32"/>
    <m/>
  </r>
  <r>
    <n v="329"/>
    <s v="Computers"/>
    <x v="0"/>
    <s v="RakeshTradingCompany"/>
    <s v="RTC2526G6507"/>
    <d v="2025-07-16T00:00:00"/>
    <d v="2025-07-16T00:00:00"/>
    <m/>
    <x v="328"/>
    <x v="1"/>
    <m/>
    <m/>
    <n v="190524"/>
    <n v="34294.32"/>
    <m/>
  </r>
  <r>
    <n v="330"/>
    <s v="Computers"/>
    <x v="0"/>
    <s v="RakeshTradingCompany"/>
    <s v="RTC2526G6576"/>
    <d v="2025-07-16T00:00:00"/>
    <d v="2025-07-16T00:00:00"/>
    <m/>
    <x v="329"/>
    <x v="1"/>
    <m/>
    <m/>
    <n v="76911"/>
    <n v="13843.98"/>
    <m/>
  </r>
  <r>
    <n v="331"/>
    <s v="Computers"/>
    <x v="0"/>
    <s v="RakeshTradingCompany"/>
    <s v="RTC2526G6623"/>
    <d v="2025-07-17T00:00:00"/>
    <d v="2025-07-17T00:00:00"/>
    <m/>
    <x v="330"/>
    <x v="0"/>
    <m/>
    <m/>
    <n v="190524"/>
    <n v="34294.32"/>
    <m/>
  </r>
  <r>
    <n v="332"/>
    <s v="Computers"/>
    <x v="2"/>
    <s v="RakeshTradingCompany"/>
    <s v="RTC2526G6701"/>
    <d v="2025-07-17T00:00:00"/>
    <d v="2025-07-17T00:00:00"/>
    <m/>
    <x v="331"/>
    <x v="1"/>
    <m/>
    <m/>
    <n v="30700"/>
    <n v="5526"/>
    <m/>
  </r>
  <r>
    <n v="333"/>
    <s v="Computers"/>
    <x v="0"/>
    <s v="RakeshTradingCompany"/>
    <s v="RTC2526G6805"/>
    <d v="2025-07-19T00:00:00"/>
    <d v="2025-07-19T00:00:00"/>
    <m/>
    <x v="332"/>
    <x v="0"/>
    <m/>
    <m/>
    <n v="190524"/>
    <n v="34294.32"/>
    <m/>
  </r>
  <r>
    <n v="334"/>
    <s v="Computers"/>
    <x v="2"/>
    <s v="RakeshTradingCompany"/>
    <s v="RTC2526G6896"/>
    <d v="2025-07-21T00:00:00"/>
    <d v="2025-07-21T00:00:00"/>
    <m/>
    <x v="333"/>
    <x v="1"/>
    <m/>
    <m/>
    <n v="17600"/>
    <n v="3168"/>
    <m/>
  </r>
  <r>
    <n v="335"/>
    <s v="Computers"/>
    <x v="2"/>
    <s v="RakeshTradingCompany"/>
    <s v="RTC2526G7396"/>
    <d v="2025-07-28T00:00:00"/>
    <d v="2025-07-28T00:00:00"/>
    <m/>
    <x v="334"/>
    <x v="0"/>
    <m/>
    <m/>
    <n v="20100"/>
    <n v="3618"/>
    <m/>
  </r>
  <r>
    <n v="336"/>
    <s v="Computers"/>
    <x v="2"/>
    <s v="RakeshTradingCompany"/>
    <s v="RTC2526G7395"/>
    <d v="2025-07-28T00:00:00"/>
    <d v="2025-07-28T00:00:00"/>
    <m/>
    <x v="335"/>
    <x v="1"/>
    <m/>
    <m/>
    <n v="20100"/>
    <n v="3618"/>
    <m/>
  </r>
  <r>
    <n v="337"/>
    <s v="Computers"/>
    <x v="0"/>
    <s v="RakeshTradingCompany"/>
    <s v="RTC2526G7494"/>
    <d v="2025-07-29T00:00:00"/>
    <d v="2025-07-29T00:00:00"/>
    <m/>
    <x v="336"/>
    <x v="1"/>
    <m/>
    <m/>
    <n v="68509"/>
    <n v="12331.619999999999"/>
    <m/>
  </r>
  <r>
    <n v="338"/>
    <s v="Computers"/>
    <x v="0"/>
    <s v="RakeshTradingCompany"/>
    <s v="RTC2526G7603"/>
    <d v="2025-07-31T00:00:00"/>
    <d v="2025-07-31T00:00:00"/>
    <m/>
    <x v="337"/>
    <x v="0"/>
    <m/>
    <m/>
    <n v="190524"/>
    <n v="34294.32"/>
    <m/>
  </r>
  <r>
    <n v="339"/>
    <s v="Computers"/>
    <x v="0"/>
    <s v="RakeshTradingCompany"/>
    <s v="RTC2526G7724"/>
    <d v="2025-08-01T00:00:00"/>
    <d v="2025-08-01T00:00:00"/>
    <m/>
    <x v="338"/>
    <x v="0"/>
    <m/>
    <m/>
    <n v="190524"/>
    <n v="34294.32"/>
    <m/>
  </r>
  <r>
    <n v="340"/>
    <s v="Computers"/>
    <x v="2"/>
    <s v="RakeshTradingCompany"/>
    <s v="RTC2526G7724"/>
    <d v="2025-08-01T00:00:00"/>
    <d v="2025-08-01T00:00:00"/>
    <m/>
    <x v="339"/>
    <x v="0"/>
    <m/>
    <m/>
    <n v="17600"/>
    <n v="3168"/>
    <m/>
  </r>
  <r>
    <n v="341"/>
    <s v="Computers"/>
    <x v="0"/>
    <s v="RakeshTradingCompany"/>
    <s v="RTC2526G8330"/>
    <d v="2025-08-11T00:00:00"/>
    <d v="2025-08-11T00:00:00"/>
    <m/>
    <x v="340"/>
    <x v="0"/>
    <m/>
    <m/>
    <n v="190524"/>
    <n v="34294.32"/>
    <m/>
  </r>
  <r>
    <n v="342"/>
    <s v="Computers"/>
    <x v="0"/>
    <s v="RakeshTradingCompany"/>
    <s v="RTC2526G8332"/>
    <d v="2025-08-11T00:00:00"/>
    <d v="2025-08-11T00:00:00"/>
    <m/>
    <x v="341"/>
    <x v="0"/>
    <m/>
    <m/>
    <n v="190524"/>
    <n v="34294.32"/>
    <m/>
  </r>
  <r>
    <n v="343"/>
    <s v="Computers"/>
    <x v="0"/>
    <s v="RakeshTradingCompany"/>
    <s v="RTC2526G8524"/>
    <d v="2025-08-14T00:00:00"/>
    <d v="2025-08-14T00:00:00"/>
    <m/>
    <x v="342"/>
    <x v="0"/>
    <m/>
    <m/>
    <n v="190524"/>
    <n v="34294.32"/>
    <m/>
  </r>
  <r>
    <n v="344"/>
    <s v="Computers"/>
    <x v="0"/>
    <s v="RakeshTradingCompany"/>
    <s v="RTC2526G8680"/>
    <d v="2025-08-18T00:00:00"/>
    <d v="2025-08-18T00:00:00"/>
    <m/>
    <x v="343"/>
    <x v="0"/>
    <m/>
    <m/>
    <n v="190524"/>
    <n v="34294.32"/>
    <m/>
  </r>
  <r>
    <n v="345"/>
    <s v="Computers"/>
    <x v="0"/>
    <s v="RakeshTradingCompany"/>
    <s v="RTC2526G8913"/>
    <d v="2025-08-21T00:00:00"/>
    <d v="2025-08-21T00:00:00"/>
    <m/>
    <x v="344"/>
    <x v="1"/>
    <m/>
    <m/>
    <n v="190524"/>
    <n v="34294.32"/>
    <m/>
  </r>
  <r>
    <n v="346"/>
    <s v="Computers"/>
    <x v="0"/>
    <s v="RakeshTradingCompany"/>
    <s v="RTC2526G9047"/>
    <d v="2025-08-22T00:00:00"/>
    <d v="2025-08-22T00:00:00"/>
    <m/>
    <x v="345"/>
    <x v="0"/>
    <m/>
    <m/>
    <n v="190524"/>
    <n v="34294.32"/>
    <m/>
  </r>
  <r>
    <n v="347"/>
    <s v="Computers"/>
    <x v="2"/>
    <s v="RakeshTradingCompany"/>
    <s v="RTC2526G9046"/>
    <d v="2025-08-22T00:00:00"/>
    <d v="2025-08-22T00:00:00"/>
    <m/>
    <x v="346"/>
    <x v="0"/>
    <m/>
    <m/>
    <n v="17600"/>
    <n v="3168"/>
    <m/>
  </r>
  <r>
    <n v="348"/>
    <s v="Computers"/>
    <x v="0"/>
    <s v="RakeshTradingCompany"/>
    <s v="RTC2526G2026"/>
    <d v="2025-08-25T00:00:00"/>
    <d v="2025-05-06T00:00:00"/>
    <m/>
    <x v="347"/>
    <x v="1"/>
    <m/>
    <m/>
    <n v="79200"/>
    <n v="14256"/>
    <m/>
  </r>
  <r>
    <n v="349"/>
    <s v="Computers"/>
    <x v="0"/>
    <s v="RakeshTradingCompany"/>
    <s v="RTC2526G4636"/>
    <d v="2025-08-25T00:00:00"/>
    <d v="2025-06-18T00:00:00"/>
    <m/>
    <x v="348"/>
    <x v="1"/>
    <m/>
    <m/>
    <n v="79200"/>
    <n v="14256"/>
    <m/>
  </r>
  <r>
    <n v="350"/>
    <s v="Computers"/>
    <x v="0"/>
    <s v="RakeshTradingCompany"/>
    <s v="RTC2526G5289"/>
    <d v="2025-08-25T00:00:00"/>
    <d v="2025-06-26T00:00:00"/>
    <m/>
    <x v="349"/>
    <x v="0"/>
    <m/>
    <m/>
    <n v="190524"/>
    <n v="34294.32"/>
    <m/>
  </r>
  <r>
    <n v="351"/>
    <s v="Computers"/>
    <x v="2"/>
    <s v="RakeshTradingCompany"/>
    <s v="RTC2526G5289"/>
    <d v="2025-08-25T00:00:00"/>
    <d v="2025-06-26T00:00:00"/>
    <m/>
    <x v="350"/>
    <x v="0"/>
    <m/>
    <m/>
    <n v="27800"/>
    <n v="5004"/>
    <m/>
  </r>
  <r>
    <n v="352"/>
    <s v="Computers"/>
    <x v="0"/>
    <s v="RakeshTradingCompany"/>
    <s v="RTC2526G7695"/>
    <d v="2025-08-25T00:00:00"/>
    <d v="2025-08-01T00:00:00"/>
    <m/>
    <x v="351"/>
    <x v="0"/>
    <m/>
    <m/>
    <n v="76911"/>
    <n v="13843.98"/>
    <m/>
  </r>
  <r>
    <n v="353"/>
    <s v="Computers"/>
    <x v="2"/>
    <s v="RakeshTradingCompany"/>
    <s v="RTC2526G7695"/>
    <d v="2025-08-25T00:00:00"/>
    <d v="2025-08-01T00:00:00"/>
    <m/>
    <x v="352"/>
    <x v="0"/>
    <m/>
    <m/>
    <n v="17600"/>
    <n v="3168"/>
    <m/>
  </r>
  <r>
    <n v="354"/>
    <s v="Computers"/>
    <x v="0"/>
    <s v="RakeshTradingCompany"/>
    <s v="RTC2526G7737"/>
    <d v="2025-08-25T00:00:00"/>
    <d v="2025-08-01T00:00:00"/>
    <m/>
    <x v="353"/>
    <x v="0"/>
    <m/>
    <m/>
    <n v="190524"/>
    <n v="34294.32"/>
    <m/>
  </r>
  <r>
    <n v="355"/>
    <s v="Computers"/>
    <x v="0"/>
    <s v="RakeshTradingCompany"/>
    <s v="RTC2526G7813"/>
    <d v="2025-08-25T00:00:00"/>
    <d v="2025-08-02T00:00:00"/>
    <m/>
    <x v="354"/>
    <x v="1"/>
    <m/>
    <m/>
    <n v="190524"/>
    <n v="34294.32"/>
    <m/>
  </r>
  <r>
    <n v="356"/>
    <s v="Computers"/>
    <x v="2"/>
    <s v="RakeshTradingCompany"/>
    <s v="RTC2526G7813"/>
    <d v="2025-08-25T00:00:00"/>
    <d v="2025-08-02T00:00:00"/>
    <m/>
    <x v="355"/>
    <x v="1"/>
    <m/>
    <m/>
    <n v="35200"/>
    <n v="6336"/>
    <m/>
  </r>
  <r>
    <n v="357"/>
    <s v="Computers"/>
    <x v="2"/>
    <s v="RakeshTradingCompany"/>
    <s v="RTC2526G7813"/>
    <d v="2025-08-25T00:00:00"/>
    <d v="2025-08-02T00:00:00"/>
    <m/>
    <x v="356"/>
    <x v="1"/>
    <m/>
    <m/>
    <m/>
    <m/>
    <m/>
  </r>
  <r>
    <n v="358"/>
    <s v="Computers"/>
    <x v="2"/>
    <s v="RakeshTradingCompany"/>
    <s v="RTC2526G4637"/>
    <d v="2025-08-25T00:00:00"/>
    <d v="2025-06-18T00:00:00"/>
    <m/>
    <x v="357"/>
    <x v="0"/>
    <m/>
    <m/>
    <n v="24500"/>
    <n v="4410"/>
    <m/>
  </r>
  <r>
    <n v="359"/>
    <s v="Computers"/>
    <x v="0"/>
    <s v="RakeshTradingCompany"/>
    <s v="CN2526G022"/>
    <d v="2025-08-28T00:00:00"/>
    <d v="2025-05-06T00:00:00"/>
    <m/>
    <x v="358"/>
    <x v="1"/>
    <m/>
    <m/>
    <n v="-79200"/>
    <n v="-14256"/>
    <m/>
  </r>
  <r>
    <n v="360"/>
    <s v="Computers"/>
    <x v="0"/>
    <s v="RakeshTradingCompany"/>
    <s v="RTC2526G9356"/>
    <d v="2025-08-29T00:00:00"/>
    <d v="2025-08-28T00:00:00"/>
    <m/>
    <x v="359"/>
    <x v="0"/>
    <m/>
    <m/>
    <n v="190524"/>
    <n v="34294.32"/>
    <m/>
  </r>
  <r>
    <n v="361"/>
    <s v="Computers"/>
    <x v="2"/>
    <s v="RakeshTradingCompany"/>
    <s v="RTC2526G9356"/>
    <d v="2025-08-29T00:00:00"/>
    <d v="2025-08-29T00:00:00"/>
    <m/>
    <x v="360"/>
    <x v="0"/>
    <m/>
    <m/>
    <n v="17600"/>
    <n v="3168"/>
    <m/>
  </r>
  <r>
    <n v="362"/>
    <s v="Computers"/>
    <x v="0"/>
    <s v="RakeshTradingCompany"/>
    <s v="RTC2526G9473"/>
    <d v="2025-08-29T00:00:00"/>
    <d v="2025-08-29T00:00:00"/>
    <m/>
    <x v="361"/>
    <x v="0"/>
    <m/>
    <m/>
    <n v="190524"/>
    <n v="34294.32"/>
    <m/>
  </r>
  <r>
    <n v="363"/>
    <s v="Computers"/>
    <x v="0"/>
    <s v="RakeshTradingCompany"/>
    <s v="RTC2526G7855"/>
    <d v="2025-08-31T00:00:00"/>
    <d v="2025-08-04T00:00:00"/>
    <m/>
    <x v="362"/>
    <x v="0"/>
    <m/>
    <m/>
    <n v="190524"/>
    <n v="34294.32"/>
    <m/>
  </r>
  <r>
    <n v="364"/>
    <s v="Computers"/>
    <x v="2"/>
    <s v="RakeshTradingCompany"/>
    <s v="RTC2526G7855"/>
    <d v="2025-08-31T00:00:00"/>
    <d v="2025-08-04T00:00:00"/>
    <m/>
    <x v="363"/>
    <x v="0"/>
    <m/>
    <m/>
    <n v="17600"/>
    <n v="3168"/>
    <m/>
  </r>
  <r>
    <n v="365"/>
    <s v="Computers"/>
    <x v="0"/>
    <s v="Bluehill"/>
    <s v="G/25-26/120"/>
    <d v="2025-09-02T00:00:00"/>
    <d v="2025-09-02T00:00:00"/>
    <m/>
    <x v="364"/>
    <x v="1"/>
    <m/>
    <m/>
    <n v="188516.95"/>
    <n v="33933.050999999999"/>
    <m/>
  </r>
  <r>
    <n v="366"/>
    <s v="Computers"/>
    <x v="0"/>
    <s v="RakeshTradingCompany"/>
    <s v="RTC2526G9758"/>
    <d v="2025-09-03T00:00:00"/>
    <d v="2025-09-03T00:00:00"/>
    <m/>
    <x v="365"/>
    <x v="1"/>
    <m/>
    <m/>
    <n v="190524"/>
    <n v="34294.32"/>
    <m/>
  </r>
  <r>
    <n v="367"/>
    <s v="Computers"/>
    <x v="0"/>
    <s v="RakeshTradingCompany"/>
    <s v="RTC2526G9720"/>
    <d v="2025-09-03T00:00:00"/>
    <d v="2025-09-03T00:00:00"/>
    <m/>
    <x v="366"/>
    <x v="0"/>
    <m/>
    <m/>
    <n v="190524"/>
    <n v="34294.32"/>
    <m/>
  </r>
  <r>
    <n v="368"/>
    <s v="Computers"/>
    <x v="0"/>
    <s v="RakeshTradingCompany"/>
    <s v="RTC2526G9760"/>
    <d v="2025-09-03T00:00:00"/>
    <d v="2025-09-03T00:00:00"/>
    <m/>
    <x v="367"/>
    <x v="0"/>
    <m/>
    <m/>
    <n v="190524"/>
    <n v="34294.32"/>
    <m/>
  </r>
  <r>
    <n v="369"/>
    <s v="Computers"/>
    <x v="0"/>
    <s v="RakeshTradingCompany"/>
    <s v="RTC2526G9840"/>
    <d v="2025-09-04T00:00:00"/>
    <d v="2025-09-04T00:00:00"/>
    <m/>
    <x v="368"/>
    <x v="1"/>
    <m/>
    <m/>
    <n v="79200"/>
    <n v="14256"/>
    <m/>
  </r>
  <r>
    <n v="370"/>
    <s v="Computers"/>
    <x v="0"/>
    <s v="RakeshTradingCompany"/>
    <s v="RTC2526G10292"/>
    <d v="2025-09-11T00:00:00"/>
    <d v="2025-09-11T00:00:00"/>
    <m/>
    <x v="369"/>
    <x v="0"/>
    <m/>
    <m/>
    <n v="190524"/>
    <n v="34294.32"/>
    <m/>
  </r>
  <r>
    <n v="371"/>
    <s v="Computers"/>
    <x v="0"/>
    <s v="Bluehill"/>
    <s v="G/25-26/130"/>
    <d v="2025-09-15T00:00:00"/>
    <d v="2025-09-15T00:00:00"/>
    <m/>
    <x v="370"/>
    <x v="1"/>
    <m/>
    <m/>
    <n v="188516.95"/>
    <n v="33933.050999999999"/>
    <m/>
  </r>
  <r>
    <n v="372"/>
    <s v="Computers"/>
    <x v="0"/>
    <s v="Bluehill"/>
    <s v="G/25-26/137"/>
    <d v="2025-09-20T00:00:00"/>
    <d v="2025-09-20T00:00:00"/>
    <m/>
    <x v="371"/>
    <x v="1"/>
    <m/>
    <m/>
    <n v="188516.95"/>
    <n v="33933.050999999999"/>
    <m/>
  </r>
  <r>
    <n v="373"/>
    <s v="Computers"/>
    <x v="0"/>
    <s v="Bluehill"/>
    <s v="G/25-26/115"/>
    <d v="2025-09-22T00:00:00"/>
    <d v="2025-08-20T00:00:00"/>
    <m/>
    <x v="372"/>
    <x v="1"/>
    <m/>
    <m/>
    <n v="188516.95"/>
    <n v="33933.050999999999"/>
    <m/>
  </r>
  <r>
    <n v="374"/>
    <s v="Computers"/>
    <x v="0"/>
    <s v="RakeshTradingCompany"/>
    <s v="RTC2526G11438"/>
    <d v="2025-10-06T00:00:00"/>
    <d v="2025-09-30T00:00:00"/>
    <m/>
    <x v="373"/>
    <x v="0"/>
    <m/>
    <m/>
    <n v="190524"/>
    <n v="34294.32"/>
    <m/>
  </r>
  <r>
    <n v="375"/>
    <s v="Computers"/>
    <x v="2"/>
    <s v="RakeshTradingCompany"/>
    <s v="RTC2526G11784"/>
    <d v="2025-10-07T00:00:00"/>
    <d v="2025-10-07T00:00:00"/>
    <m/>
    <x v="374"/>
    <x v="0"/>
    <m/>
    <m/>
    <n v="17600"/>
    <n v="3168"/>
    <m/>
  </r>
  <r>
    <n v="376"/>
    <s v="Computers"/>
    <x v="0"/>
    <s v="RakeshTradingCompany"/>
    <s v="RTC2526G12219"/>
    <d v="2025-10-13T00:00:00"/>
    <d v="2025-10-13T00:00:00"/>
    <m/>
    <x v="375"/>
    <x v="0"/>
    <m/>
    <m/>
    <n v="190524"/>
    <n v="34294.32"/>
    <m/>
  </r>
  <r>
    <n v="377"/>
    <s v="Computers"/>
    <x v="2"/>
    <s v="RakeshTradingCompany"/>
    <s v="RTC2526G12309"/>
    <d v="2025-10-14T00:00:00"/>
    <d v="2025-10-14T00:00:00"/>
    <m/>
    <x v="376"/>
    <x v="0"/>
    <m/>
    <m/>
    <n v="35200"/>
    <n v="6336"/>
    <m/>
  </r>
  <r>
    <n v="378"/>
    <s v="Computers"/>
    <x v="2"/>
    <s v="RakeshTradingCompany"/>
    <s v="RTC2526G12309"/>
    <d v="2025-10-14T00:00:00"/>
    <d v="2025-10-14T00:00:00"/>
    <m/>
    <x v="377"/>
    <x v="0"/>
    <m/>
    <m/>
    <m/>
    <m/>
    <m/>
  </r>
  <r>
    <n v="379"/>
    <s v="Computers"/>
    <x v="0"/>
    <s v="RakeshTradingCompany"/>
    <s v="RTC2526G12352"/>
    <d v="2025-10-15T00:00:00"/>
    <d v="2025-10-15T00:00:00"/>
    <m/>
    <x v="378"/>
    <x v="0"/>
    <m/>
    <m/>
    <n v="190524"/>
    <n v="34294.32"/>
    <m/>
  </r>
  <r>
    <n v="380"/>
    <s v="Computers"/>
    <x v="0"/>
    <s v="RakeshTradingCompany"/>
    <s v="RTC2526G12473"/>
    <d v="2025-10-16T00:00:00"/>
    <d v="2025-10-16T00:00:00"/>
    <m/>
    <x v="379"/>
    <x v="0"/>
    <m/>
    <m/>
    <n v="76911"/>
    <n v="13843.98"/>
    <m/>
  </r>
  <r>
    <n v="381"/>
    <s v="Computers"/>
    <x v="0"/>
    <s v="RakeshTradingCompany"/>
    <s v="RTC2526G11728"/>
    <d v="2025-10-20T00:00:00"/>
    <d v="2025-10-20T00:00:00"/>
    <m/>
    <x v="380"/>
    <x v="0"/>
    <m/>
    <m/>
    <n v="190524"/>
    <n v="34294.32"/>
    <m/>
  </r>
  <r>
    <n v="382"/>
    <s v="Computers"/>
    <x v="2"/>
    <s v="RakeshTradingCompany"/>
    <s v="RTC2526G11778"/>
    <d v="2025-10-20T00:00:00"/>
    <d v="2025-10-07T00:00:00"/>
    <m/>
    <x v="381"/>
    <x v="0"/>
    <m/>
    <m/>
    <n v="17600"/>
    <n v="3168"/>
    <m/>
  </r>
  <r>
    <n v="383"/>
    <s v="Computers"/>
    <x v="2"/>
    <s v="RakeshTradingCompany"/>
    <s v="RTC2526G11781"/>
    <d v="2025-10-20T00:00:00"/>
    <d v="2025-10-20T00:00:00"/>
    <m/>
    <x v="382"/>
    <x v="1"/>
    <m/>
    <m/>
    <n v="17600"/>
    <n v="3168"/>
    <m/>
  </r>
  <r>
    <n v="384"/>
    <s v="Computers"/>
    <x v="2"/>
    <s v="RakeshTradingCompany"/>
    <s v="RTC2526G11783"/>
    <d v="2025-10-20T00:00:00"/>
    <d v="2025-10-07T00:00:00"/>
    <m/>
    <x v="383"/>
    <x v="0"/>
    <m/>
    <m/>
    <n v="17600"/>
    <n v="3168"/>
    <m/>
  </r>
  <r>
    <n v="385"/>
    <s v="Computers"/>
    <x v="2"/>
    <s v="RakeshTradingCompany"/>
    <s v="RTC2526G11780"/>
    <d v="2025-10-20T00:00:00"/>
    <d v="2025-10-07T00:00:00"/>
    <m/>
    <x v="384"/>
    <x v="1"/>
    <m/>
    <m/>
    <n v="17600"/>
    <n v="3168"/>
    <m/>
  </r>
  <r>
    <n v="386"/>
    <s v="Computers"/>
    <x v="2"/>
    <s v="RakeshTradingCompany"/>
    <s v="RTC2526G11785"/>
    <d v="2025-10-20T00:00:00"/>
    <d v="2025-10-07T00:00:00"/>
    <m/>
    <x v="385"/>
    <x v="0"/>
    <m/>
    <m/>
    <n v="35200"/>
    <n v="6336"/>
    <m/>
  </r>
  <r>
    <n v="387"/>
    <s v="Computers"/>
    <x v="2"/>
    <s v="RakeshTradingCompany"/>
    <s v="RTC2526G11785"/>
    <d v="2025-10-20T00:00:00"/>
    <d v="2025-10-07T00:00:00"/>
    <m/>
    <x v="386"/>
    <x v="0"/>
    <m/>
    <m/>
    <m/>
    <m/>
    <m/>
  </r>
  <r>
    <n v="388"/>
    <s v="Computers"/>
    <x v="0"/>
    <s v="RakeshTradingCompany"/>
    <s v="RTC2526G11891"/>
    <d v="2025-10-20T00:00:00"/>
    <d v="2025-10-08T00:00:00"/>
    <m/>
    <x v="387"/>
    <x v="0"/>
    <m/>
    <m/>
    <n v="190524"/>
    <n v="34294.32"/>
    <m/>
  </r>
  <r>
    <n v="389"/>
    <s v="Computers"/>
    <x v="2"/>
    <s v="RakeshTradingCompany"/>
    <s v="RTC2526G11891"/>
    <d v="2025-10-20T00:00:00"/>
    <d v="2025-10-08T00:00:00"/>
    <m/>
    <x v="388"/>
    <x v="0"/>
    <m/>
    <m/>
    <n v="35200"/>
    <n v="6336"/>
    <m/>
  </r>
  <r>
    <n v="390"/>
    <s v="Computers"/>
    <x v="2"/>
    <s v="RakeshTradingCompany"/>
    <s v="RTC2526G11891"/>
    <d v="2025-10-20T00:00:00"/>
    <d v="2025-10-08T00:00:00"/>
    <m/>
    <x v="389"/>
    <x v="0"/>
    <m/>
    <m/>
    <m/>
    <m/>
    <m/>
  </r>
  <r>
    <n v="391"/>
    <s v="Computers"/>
    <x v="2"/>
    <s v="RakeshTradingCompany"/>
    <s v="RTC2526G11790"/>
    <d v="2025-10-20T00:00:00"/>
    <d v="2025-10-07T00:00:00"/>
    <m/>
    <x v="390"/>
    <x v="0"/>
    <m/>
    <m/>
    <n v="17600"/>
    <n v="3168"/>
    <m/>
  </r>
  <r>
    <n v="392"/>
    <s v="Computers"/>
    <x v="2"/>
    <s v="RakeshTradingCompany"/>
    <s v="RTC2526G11791"/>
    <d v="2025-10-20T00:00:00"/>
    <d v="2025-10-07T00:00:00"/>
    <m/>
    <x v="391"/>
    <x v="0"/>
    <m/>
    <m/>
    <n v="17600"/>
    <n v="3168"/>
    <m/>
  </r>
  <r>
    <n v="393"/>
    <s v="Computers"/>
    <x v="2"/>
    <s v="RakeshTradingCompany"/>
    <s v="RTC2526G11792"/>
    <d v="2025-10-20T00:00:00"/>
    <d v="2025-10-07T00:00:00"/>
    <m/>
    <x v="392"/>
    <x v="1"/>
    <m/>
    <m/>
    <n v="17600"/>
    <n v="3168"/>
    <m/>
  </r>
  <r>
    <n v="394"/>
    <s v="Computers"/>
    <x v="2"/>
    <s v="RakeshTradingCompany"/>
    <s v="RTC2526G11793"/>
    <d v="2025-10-20T00:00:00"/>
    <d v="2025-10-07T00:00:00"/>
    <m/>
    <x v="393"/>
    <x v="1"/>
    <m/>
    <m/>
    <n v="17600"/>
    <n v="3168"/>
    <m/>
  </r>
  <r>
    <n v="395"/>
    <s v="Computers"/>
    <x v="2"/>
    <s v="RakeshTradingCompany"/>
    <s v="RTC2526G11794"/>
    <d v="2025-10-20T00:00:00"/>
    <d v="2025-10-07T00:00:00"/>
    <m/>
    <x v="394"/>
    <x v="0"/>
    <m/>
    <m/>
    <n v="17600"/>
    <n v="3168"/>
    <m/>
  </r>
  <r>
    <n v="396"/>
    <s v="Computers"/>
    <x v="2"/>
    <s v="RakeshTradingCompany"/>
    <s v="RTC2526G11795"/>
    <d v="2025-10-20T00:00:00"/>
    <d v="2025-10-07T00:00:00"/>
    <m/>
    <x v="395"/>
    <x v="1"/>
    <m/>
    <m/>
    <n v="17600"/>
    <n v="3168"/>
    <m/>
  </r>
  <r>
    <n v="397"/>
    <s v="Computers"/>
    <x v="2"/>
    <s v="RakeshTradingCompany"/>
    <s v="RTC2526G12048"/>
    <d v="2025-10-20T00:00:00"/>
    <d v="2025-10-10T00:00:00"/>
    <m/>
    <x v="396"/>
    <x v="1"/>
    <m/>
    <m/>
    <n v="35200"/>
    <n v="6336"/>
    <m/>
  </r>
  <r>
    <n v="398"/>
    <s v="Computers"/>
    <x v="2"/>
    <s v="RakeshTradingCompany"/>
    <s v="RTC2526G12048"/>
    <d v="2025-10-20T00:00:00"/>
    <d v="2025-10-10T00:00:00"/>
    <m/>
    <x v="397"/>
    <x v="1"/>
    <m/>
    <m/>
    <m/>
    <m/>
    <m/>
  </r>
  <r>
    <n v="399"/>
    <s v="Computers"/>
    <x v="0"/>
    <s v="RakeshTradingCompany"/>
    <s v="RTC2526G10612"/>
    <d v="2025-10-20T00:00:00"/>
    <d v="2025-09-16T00:00:00"/>
    <m/>
    <x v="398"/>
    <x v="0"/>
    <m/>
    <m/>
    <n v="190524"/>
    <n v="34294.32"/>
    <m/>
  </r>
  <r>
    <n v="400"/>
    <s v="Computers"/>
    <x v="0"/>
    <s v="RakeshTradingCompany"/>
    <s v="RTC2526G10610"/>
    <d v="2025-10-20T00:00:00"/>
    <d v="2025-09-16T00:00:00"/>
    <m/>
    <x v="399"/>
    <x v="0"/>
    <m/>
    <m/>
    <n v="190524"/>
    <n v="34294.32"/>
    <m/>
  </r>
  <r>
    <n v="401"/>
    <s v="Computers"/>
    <x v="0"/>
    <s v="RakeshTradingCompany"/>
    <s v="RTC2526G10816"/>
    <d v="2025-10-20T00:00:00"/>
    <d v="2025-09-19T00:00:00"/>
    <m/>
    <x v="400"/>
    <x v="0"/>
    <m/>
    <m/>
    <n v="190524"/>
    <n v="34294.32"/>
    <m/>
  </r>
  <r>
    <n v="402"/>
    <s v="Computers"/>
    <x v="2"/>
    <s v="RakeshTradingCompany"/>
    <s v="RTC2526G11779"/>
    <d v="2025-10-20T00:00:00"/>
    <d v="2025-10-07T00:00:00"/>
    <m/>
    <x v="401"/>
    <x v="0"/>
    <m/>
    <m/>
    <n v="17600"/>
    <n v="3168"/>
    <m/>
  </r>
  <r>
    <n v="403"/>
    <s v="Computers"/>
    <x v="0"/>
    <s v="RakeshTradingCompany"/>
    <s v="RTC2526G10608"/>
    <d v="2025-10-20T00:00:00"/>
    <d v="2025-09-16T00:00:00"/>
    <m/>
    <x v="402"/>
    <x v="0"/>
    <m/>
    <m/>
    <n v="190524"/>
    <n v="34294.32"/>
    <m/>
  </r>
  <r>
    <n v="404"/>
    <s v="Computers"/>
    <x v="0"/>
    <s v="RakeshTradingCompany"/>
    <s v="RTC2526G10488"/>
    <d v="2025-10-20T00:00:00"/>
    <d v="2025-09-15T00:00:00"/>
    <m/>
    <x v="403"/>
    <x v="0"/>
    <m/>
    <m/>
    <n v="190524"/>
    <n v="34294.32"/>
    <m/>
  </r>
  <r>
    <n v="405"/>
    <s v="Computers"/>
    <x v="0"/>
    <s v="RakeshTradingCompany"/>
    <s v="RTC2526G10446"/>
    <d v="2025-10-20T00:00:00"/>
    <d v="2025-09-13T00:00:00"/>
    <m/>
    <x v="404"/>
    <x v="0"/>
    <m/>
    <m/>
    <n v="190524"/>
    <n v="34294.32"/>
    <m/>
  </r>
  <r>
    <n v="406"/>
    <s v="Computers"/>
    <x v="0"/>
    <s v="RakeshTradingCompany"/>
    <s v="RTC2526G12682"/>
    <d v="2025-10-22T00:00:00"/>
    <d v="2025-10-22T00:00:00"/>
    <m/>
    <x v="405"/>
    <x v="0"/>
    <m/>
    <m/>
    <n v="190524"/>
    <n v="34294.32"/>
    <m/>
  </r>
  <r>
    <n v="407"/>
    <s v="Computers"/>
    <x v="2"/>
    <s v="RakeshTradingCompany"/>
    <s v="RTC2526G12682"/>
    <d v="2025-10-22T00:00:00"/>
    <d v="2025-10-22T00:00:00"/>
    <m/>
    <x v="406"/>
    <x v="1"/>
    <m/>
    <m/>
    <n v="17600"/>
    <n v="3168"/>
    <m/>
  </r>
  <r>
    <n v="408"/>
    <s v="Computers"/>
    <x v="0"/>
    <s v="RakeshTradingCompany"/>
    <s v="RTC2526G12680"/>
    <d v="2025-10-22T00:00:00"/>
    <d v="2025-10-22T00:00:00"/>
    <m/>
    <x v="407"/>
    <x v="0"/>
    <m/>
    <m/>
    <n v="190524"/>
    <n v="34294.32"/>
    <m/>
  </r>
  <r>
    <n v="409"/>
    <s v="Computers"/>
    <x v="2"/>
    <s v="RakeshTradingCompany"/>
    <s v="RTC2526G12680"/>
    <d v="2025-10-22T00:00:00"/>
    <d v="2025-10-22T00:00:00"/>
    <m/>
    <x v="408"/>
    <x v="1"/>
    <m/>
    <m/>
    <n v="17600"/>
    <n v="3168"/>
    <m/>
  </r>
  <r>
    <n v="410"/>
    <s v="Computers"/>
    <x v="0"/>
    <s v="RakeshTradingCompany"/>
    <s v="RTC2526G12678"/>
    <d v="2025-10-22T00:00:00"/>
    <d v="2025-10-22T00:00:00"/>
    <m/>
    <x v="409"/>
    <x v="1"/>
    <m/>
    <m/>
    <n v="190524"/>
    <n v="34294.32"/>
    <m/>
  </r>
  <r>
    <n v="411"/>
    <s v="Computers"/>
    <x v="2"/>
    <s v="RakeshTradingCompany"/>
    <s v="RTC2526G12678"/>
    <d v="2025-10-22T00:00:00"/>
    <d v="2025-10-22T00:00:00"/>
    <m/>
    <x v="410"/>
    <x v="1"/>
    <m/>
    <m/>
    <n v="17600"/>
    <n v="3168"/>
    <m/>
  </r>
  <r>
    <n v="412"/>
    <s v="Computers"/>
    <x v="0"/>
    <s v="RakeshTradingCompany"/>
    <s v="RTC2526G12988"/>
    <d v="2025-10-27T00:00:00"/>
    <d v="2025-10-27T00:00:00"/>
    <m/>
    <x v="411"/>
    <x v="1"/>
    <m/>
    <m/>
    <n v="190524"/>
    <n v="34294.32"/>
    <m/>
  </r>
  <r>
    <n v="413"/>
    <s v="Computers"/>
    <x v="2"/>
    <s v="RakeshTradingCompany"/>
    <s v="RTC2526G12988"/>
    <d v="2025-10-27T00:00:00"/>
    <d v="2025-10-27T00:00:00"/>
    <m/>
    <x v="412"/>
    <x v="1"/>
    <m/>
    <m/>
    <n v="17600"/>
    <n v="3168"/>
    <m/>
  </r>
  <r>
    <n v="414"/>
    <s v="Computers"/>
    <x v="2"/>
    <s v="RakeshTradingCompany"/>
    <s v="RTC2526G12974"/>
    <d v="2025-10-27T00:00:00"/>
    <d v="2025-10-27T00:00:00"/>
    <m/>
    <x v="413"/>
    <x v="1"/>
    <m/>
    <m/>
    <n v="19000"/>
    <n v="3420"/>
    <m/>
  </r>
  <r>
    <n v="415"/>
    <s v="Computers"/>
    <x v="0"/>
    <s v="RakeshTradingCompany"/>
    <s v="RTC2526G12995"/>
    <d v="2025-10-27T00:00:00"/>
    <d v="2025-10-27T00:00:00"/>
    <m/>
    <x v="414"/>
    <x v="0"/>
    <m/>
    <m/>
    <n v="190524"/>
    <n v="34294.32"/>
    <m/>
  </r>
  <r>
    <n v="416"/>
    <s v="Computers"/>
    <x v="2"/>
    <s v="RakeshTradingCompany"/>
    <s v="RTC2526G12995"/>
    <d v="2025-10-27T00:00:00"/>
    <d v="2025-10-27T00:00:00"/>
    <m/>
    <x v="415"/>
    <x v="1"/>
    <m/>
    <m/>
    <n v="17600"/>
    <n v="3168"/>
    <m/>
  </r>
  <r>
    <n v="417"/>
    <s v="Computers"/>
    <x v="0"/>
    <s v="RakeshTradingCompany"/>
    <s v="RTC2526G13003"/>
    <d v="2025-10-28T00:00:00"/>
    <d v="2025-10-28T00:00:00"/>
    <m/>
    <x v="416"/>
    <x v="1"/>
    <m/>
    <m/>
    <n v="83500"/>
    <n v="15030"/>
    <m/>
  </r>
  <r>
    <n v="418"/>
    <s v="Computers"/>
    <x v="2"/>
    <s v="RakeshTradingCompany"/>
    <s v="RTC2526G13003"/>
    <d v="2025-10-28T00:00:00"/>
    <d v="2025-10-28T00:00:00"/>
    <m/>
    <x v="417"/>
    <x v="0"/>
    <m/>
    <m/>
    <n v="17600"/>
    <n v="3168"/>
    <m/>
  </r>
  <r>
    <n v="419"/>
    <s v="Computers"/>
    <x v="0"/>
    <s v="RakeshTradingCompany"/>
    <s v="RTC2526G13155"/>
    <d v="2025-10-29T00:00:00"/>
    <d v="2025-10-29T00:00:00"/>
    <m/>
    <x v="418"/>
    <x v="0"/>
    <m/>
    <m/>
    <n v="190524"/>
    <n v="34294.32"/>
    <m/>
  </r>
  <r>
    <n v="420"/>
    <s v="Computers"/>
    <x v="0"/>
    <s v="RakeshTradingCompany"/>
    <s v="RTC2526G11168"/>
    <d v="2025-10-30T00:00:00"/>
    <d v="2025-09-25T00:00:00"/>
    <m/>
    <x v="419"/>
    <x v="0"/>
    <m/>
    <m/>
    <n v="190524"/>
    <n v="34294.32"/>
    <m/>
  </r>
  <r>
    <n v="421"/>
    <s v="Computers"/>
    <x v="0"/>
    <s v="RakeshTradingCompany"/>
    <s v="RTC2526G10921"/>
    <d v="2025-10-30T00:00:00"/>
    <d v="2025-09-20T00:00:00"/>
    <m/>
    <x v="420"/>
    <x v="1"/>
    <m/>
    <m/>
    <n v="83500"/>
    <n v="15030"/>
    <m/>
  </r>
  <r>
    <n v="422"/>
    <s v="Computers"/>
    <x v="0"/>
    <s v="RakeshTradingCompany"/>
    <s v="RTC2526G13350"/>
    <d v="2025-11-03T00:00:00"/>
    <d v="2025-11-03T00:00:00"/>
    <m/>
    <x v="421"/>
    <x v="0"/>
    <m/>
    <m/>
    <n v="190524"/>
    <n v="34294.32"/>
    <m/>
  </r>
  <r>
    <n v="423"/>
    <s v="Computers"/>
    <x v="0"/>
    <s v="RakeshTradingCompany"/>
    <s v="RTC2526G13348"/>
    <d v="2025-11-03T00:00:00"/>
    <d v="2025-11-03T00:00:00"/>
    <m/>
    <x v="422"/>
    <x v="0"/>
    <m/>
    <m/>
    <n v="190524"/>
    <n v="34294.32"/>
    <m/>
  </r>
  <r>
    <n v="424"/>
    <s v="Computers"/>
    <x v="2"/>
    <s v="RakeshTradingCompany"/>
    <s v="RTC2526G13395"/>
    <d v="2025-11-04T00:00:00"/>
    <d v="2025-11-04T00:00:00"/>
    <m/>
    <x v="423"/>
    <x v="1"/>
    <m/>
    <m/>
    <n v="17600"/>
    <n v="3168"/>
    <m/>
  </r>
  <r>
    <n v="425"/>
    <s v="Computers"/>
    <x v="2"/>
    <s v="RakeshTradingCompany"/>
    <s v="RTC2526G13397"/>
    <d v="2025-11-04T00:00:00"/>
    <d v="2025-11-04T00:00:00"/>
    <m/>
    <x v="424"/>
    <x v="1"/>
    <m/>
    <m/>
    <n v="17600"/>
    <n v="3168"/>
    <m/>
  </r>
  <r>
    <n v="426"/>
    <s v="Computers"/>
    <x v="2"/>
    <s v="RakeshTradingCompany"/>
    <s v="RTC2526G13398"/>
    <d v="2025-11-04T00:00:00"/>
    <d v="2025-11-04T00:00:00"/>
    <m/>
    <x v="425"/>
    <x v="0"/>
    <m/>
    <m/>
    <n v="17600"/>
    <n v="3168"/>
    <m/>
  </r>
  <r>
    <n v="427"/>
    <s v="Computers"/>
    <x v="2"/>
    <s v="RakeshTradingCompany"/>
    <s v="RTC2526G13396"/>
    <d v="2025-11-04T00:00:00"/>
    <d v="2025-11-04T00:00:00"/>
    <m/>
    <x v="426"/>
    <x v="1"/>
    <m/>
    <m/>
    <n v="17600"/>
    <n v="3168"/>
    <m/>
  </r>
  <r>
    <n v="428"/>
    <s v="Computers"/>
    <x v="2"/>
    <s v="RakeshTradingCompany"/>
    <s v="CN2526G121"/>
    <d v="2025-11-05T00:00:00"/>
    <d v="2025-11-05T00:00:00"/>
    <m/>
    <x v="427"/>
    <x v="0"/>
    <m/>
    <m/>
    <n v="-17600"/>
    <n v="-3168"/>
    <m/>
  </r>
  <r>
    <n v="429"/>
    <s v="Computers"/>
    <x v="0"/>
    <s v="RakeshTradingCompany"/>
    <s v="CN2526G122"/>
    <d v="2025-11-05T00:00:00"/>
    <d v="2025-11-05T00:00:00"/>
    <m/>
    <x v="428"/>
    <x v="0"/>
    <m/>
    <m/>
    <n v="-190524"/>
    <n v="-34294.32"/>
    <m/>
  </r>
  <r>
    <n v="430"/>
    <s v="Computers"/>
    <x v="2"/>
    <s v="RakeshTradingCompany"/>
    <s v="CN2526G122"/>
    <d v="2025-11-05T00:00:00"/>
    <d v="2025-11-05T00:00:00"/>
    <m/>
    <x v="429"/>
    <x v="0"/>
    <m/>
    <m/>
    <n v="-35200"/>
    <n v="-6336"/>
    <m/>
  </r>
  <r>
    <n v="431"/>
    <s v="Computers"/>
    <x v="0"/>
    <s v="RakeshTradingCompany"/>
    <s v="RTC2526G13483"/>
    <d v="2025-11-05T00:00:00"/>
    <d v="2025-11-05T00:00:00"/>
    <m/>
    <x v="430"/>
    <x v="0"/>
    <m/>
    <m/>
    <n v="190524"/>
    <n v="34294.32"/>
    <m/>
  </r>
  <r>
    <n v="432"/>
    <s v="Computers"/>
    <x v="2"/>
    <s v="RakeshTradingCompany"/>
    <s v="RTC2526G13483"/>
    <d v="2025-11-05T00:00:00"/>
    <d v="2025-11-05T00:00:00"/>
    <m/>
    <x v="431"/>
    <x v="0"/>
    <m/>
    <m/>
    <n v="17600"/>
    <n v="3168"/>
    <m/>
  </r>
  <r>
    <n v="433"/>
    <s v="Computers"/>
    <x v="0"/>
    <s v="RakeshTradingCompany"/>
    <s v="RTC2526G13589"/>
    <d v="2025-11-06T00:00:00"/>
    <d v="2025-11-06T00:00:00"/>
    <m/>
    <x v="432"/>
    <x v="0"/>
    <m/>
    <m/>
    <n v="190524"/>
    <n v="34294.32"/>
    <m/>
  </r>
  <r>
    <n v="434"/>
    <s v="Computers"/>
    <x v="2"/>
    <s v="RakeshTradingCompany"/>
    <s v="RTC2526G13589"/>
    <d v="2025-11-06T00:00:00"/>
    <d v="2025-11-06T00:00:00"/>
    <m/>
    <x v="433"/>
    <x v="0"/>
    <m/>
    <m/>
    <n v="17600"/>
    <n v="3168"/>
    <m/>
  </r>
  <r>
    <n v="435"/>
    <s v="Computers"/>
    <x v="0"/>
    <s v="RakeshTradingCompany"/>
    <s v="RTC2526G13634"/>
    <d v="2025-11-06T00:00:00"/>
    <d v="2025-11-06T00:00:00"/>
    <m/>
    <x v="434"/>
    <x v="0"/>
    <m/>
    <m/>
    <n v="83500"/>
    <n v="15030"/>
    <m/>
  </r>
  <r>
    <n v="436"/>
    <s v="Computers"/>
    <x v="2"/>
    <s v="RakeshTradingCompany"/>
    <s v="RTC2526G13634"/>
    <d v="2025-11-06T00:00:00"/>
    <d v="2025-11-06T00:00:00"/>
    <m/>
    <x v="435"/>
    <x v="0"/>
    <m/>
    <m/>
    <n v="17600"/>
    <n v="3168"/>
    <m/>
  </r>
  <r>
    <n v="437"/>
    <s v="Computers"/>
    <x v="2"/>
    <s v="RakeshTradingCompany"/>
    <s v="RTC2526G13504"/>
    <d v="2025-11-10T00:00:00"/>
    <d v="2025-11-05T00:00:00"/>
    <m/>
    <x v="436"/>
    <x v="0"/>
    <m/>
    <m/>
    <n v="35200"/>
    <n v="6336"/>
    <m/>
  </r>
  <r>
    <n v="438"/>
    <s v="Computers"/>
    <x v="2"/>
    <s v="RakeshTradingCompany"/>
    <s v="RTC2526G13504"/>
    <d v="2025-11-10T00:00:00"/>
    <d v="2025-11-05T00:00:00"/>
    <m/>
    <x v="437"/>
    <x v="0"/>
    <m/>
    <m/>
    <m/>
    <m/>
    <m/>
  </r>
  <r>
    <n v="439"/>
    <s v="Computers"/>
    <x v="0"/>
    <s v="RakeshTradingCompany"/>
    <s v="RTC2526G13709"/>
    <d v="2025-11-10T00:00:00"/>
    <d v="2025-11-10T00:00:00"/>
    <m/>
    <x v="438"/>
    <x v="1"/>
    <m/>
    <m/>
    <n v="98771"/>
    <n v="17778.78"/>
    <m/>
  </r>
  <r>
    <n v="440"/>
    <s v="Computers"/>
    <x v="0"/>
    <s v="RakeshTradingCompany"/>
    <s v="RTC2526G13710"/>
    <d v="2025-11-10T00:00:00"/>
    <d v="2025-11-05T00:00:00"/>
    <m/>
    <x v="439"/>
    <x v="1"/>
    <m/>
    <m/>
    <n v="98771"/>
    <n v="17778.78"/>
    <m/>
  </r>
  <r>
    <n v="441"/>
    <s v="Computers"/>
    <x v="0"/>
    <s v="RakeshTradingCompany"/>
    <s v="RTC2526G13860"/>
    <d v="2025-11-10T00:00:00"/>
    <d v="2025-11-10T00:00:00"/>
    <m/>
    <x v="440"/>
    <x v="1"/>
    <m/>
    <m/>
    <n v="83500"/>
    <n v="15030"/>
    <m/>
  </r>
  <r>
    <n v="442"/>
    <s v="Computers"/>
    <x v="2"/>
    <s v="RakeshTradingCompany"/>
    <s v="RTC2526G13860"/>
    <d v="2025-11-10T00:00:00"/>
    <d v="2025-11-10T00:00:00"/>
    <m/>
    <x v="441"/>
    <x v="1"/>
    <m/>
    <m/>
    <n v="17600"/>
    <n v="3168"/>
    <m/>
  </r>
  <r>
    <n v="443"/>
    <s v="Computers"/>
    <x v="2"/>
    <s v="RakeshTradingCompany"/>
    <s v="RTC2526G13849"/>
    <d v="2025-11-10T00:00:00"/>
    <d v="2025-11-10T00:00:00"/>
    <m/>
    <x v="442"/>
    <x v="0"/>
    <m/>
    <m/>
    <n v="19000"/>
    <n v="3420"/>
    <m/>
  </r>
  <r>
    <n v="444"/>
    <s v="Computers"/>
    <x v="0"/>
    <s v="RakeshTradingCompany"/>
    <s v="RTC2526G14682"/>
    <d v="2025-11-26T00:00:00"/>
    <d v="2025-11-25T00:00:00"/>
    <m/>
    <x v="443"/>
    <x v="1"/>
    <m/>
    <m/>
    <n v="83500"/>
    <n v="15030"/>
    <m/>
  </r>
  <r>
    <n v="445"/>
    <s v="Computers"/>
    <x v="2"/>
    <s v="RakeshTradingCompany"/>
    <s v="RTC2526G14682"/>
    <d v="2025-11-26T00:00:00"/>
    <d v="2025-11-25T00:00:00"/>
    <m/>
    <x v="444"/>
    <x v="0"/>
    <m/>
    <m/>
    <n v="17600"/>
    <n v="3168"/>
    <m/>
  </r>
  <r>
    <n v="446"/>
    <s v="Computers"/>
    <x v="0"/>
    <s v="RakeshTradingCompany"/>
    <s v="RTC2526G15142"/>
    <d v="2025-12-03T00:00:00"/>
    <d v="2025-12-02T00:00:00"/>
    <m/>
    <x v="445"/>
    <x v="1"/>
    <m/>
    <m/>
    <n v="190524"/>
    <n v="34294.32"/>
    <m/>
  </r>
  <r>
    <n v="447"/>
    <s v="Computers"/>
    <x v="2"/>
    <s v="RakeshTradingCompany"/>
    <s v="RTC2526G15142"/>
    <d v="2025-12-03T00:00:00"/>
    <d v="2025-12-02T00:00:00"/>
    <m/>
    <x v="446"/>
    <x v="1"/>
    <m/>
    <m/>
    <n v="17600"/>
    <n v="3168"/>
    <m/>
  </r>
  <r>
    <n v="448"/>
    <s v="Computers"/>
    <x v="0"/>
    <s v="RakeshTradingCompany"/>
    <s v="RTC2526G15272"/>
    <d v="2025-12-08T00:00:00"/>
    <d v="2025-12-03T00:00:00"/>
    <m/>
    <x v="447"/>
    <x v="1"/>
    <m/>
    <m/>
    <n v="190524"/>
    <n v="34294.32"/>
    <m/>
  </r>
  <r>
    <n v="449"/>
    <s v="Computers"/>
    <x v="2"/>
    <s v="RakeshTradingCompany"/>
    <s v="RTC2526G15272"/>
    <d v="2025-12-08T00:00:00"/>
    <d v="2025-12-03T00:00:00"/>
    <m/>
    <x v="448"/>
    <x v="1"/>
    <m/>
    <m/>
    <n v="17600"/>
    <n v="3168"/>
    <m/>
  </r>
  <r>
    <n v="450"/>
    <s v="Computers"/>
    <x v="0"/>
    <s v="RakeshTradingCompany"/>
    <s v="RTC2526G15270"/>
    <d v="2025-12-08T00:00:00"/>
    <d v="2025-12-03T00:00:00"/>
    <m/>
    <x v="449"/>
    <x v="1"/>
    <m/>
    <m/>
    <n v="190524"/>
    <n v="34294.32"/>
    <m/>
  </r>
  <r>
    <n v="451"/>
    <s v="Computers"/>
    <x v="2"/>
    <s v="RakeshTradingCompany"/>
    <s v="RTC2526G15270"/>
    <d v="2025-12-08T00:00:00"/>
    <d v="2025-12-03T00:00:00"/>
    <m/>
    <x v="450"/>
    <x v="1"/>
    <m/>
    <m/>
    <n v="17600"/>
    <n v="3168"/>
    <m/>
  </r>
  <r>
    <n v="452"/>
    <s v="Computers"/>
    <x v="0"/>
    <s v="RakeshTradingCompany"/>
    <s v="RTC2526G15268"/>
    <d v="2025-12-08T00:00:00"/>
    <d v="2025-12-03T00:00:00"/>
    <m/>
    <x v="451"/>
    <x v="1"/>
    <m/>
    <m/>
    <n v="190524"/>
    <n v="34294.32"/>
    <m/>
  </r>
  <r>
    <n v="453"/>
    <s v="Computers"/>
    <x v="2"/>
    <s v="RakeshTradingCompany"/>
    <s v="RTC2526G15268"/>
    <d v="2025-12-08T00:00:00"/>
    <d v="2025-12-03T00:00:00"/>
    <m/>
    <x v="452"/>
    <x v="1"/>
    <m/>
    <m/>
    <n v="17600"/>
    <n v="3168"/>
    <m/>
  </r>
  <r>
    <n v="454"/>
    <s v="Computers"/>
    <x v="2"/>
    <s v="RakeshTradingCompany"/>
    <s v="RTG2526G15345"/>
    <d v="2025-12-10T00:00:00"/>
    <d v="2025-12-05T00:00:00"/>
    <m/>
    <x v="453"/>
    <x v="1"/>
    <m/>
    <m/>
    <n v="20660"/>
    <n v="3718.8"/>
    <m/>
  </r>
  <r>
    <n v="455"/>
    <s v="Computers"/>
    <x v="0"/>
    <s v="RakeshTradingCompany"/>
    <s v="RTC2526G16044"/>
    <d v="2025-12-16T00:00:00"/>
    <d v="2025-12-15T00:00:00"/>
    <m/>
    <x v="454"/>
    <x v="1"/>
    <m/>
    <m/>
    <n v="190524"/>
    <n v="34294.32"/>
    <m/>
  </r>
  <r>
    <n v="456"/>
    <s v="Computers"/>
    <x v="2"/>
    <s v="RakeshTradingCompany"/>
    <s v="RTC2526G16044"/>
    <d v="2025-12-16T00:00:00"/>
    <d v="2025-12-15T00:00:00"/>
    <m/>
    <x v="455"/>
    <x v="1"/>
    <m/>
    <m/>
    <n v="17600"/>
    <n v="3168"/>
    <m/>
  </r>
  <r>
    <n v="457"/>
    <s v="Computers"/>
    <x v="0"/>
    <s v="RakeshTradingCompany"/>
    <s v="RTC2526G16580"/>
    <d v="2025-12-23T00:00:00"/>
    <d v="2025-12-23T00:00:00"/>
    <m/>
    <x v="456"/>
    <x v="1"/>
    <m/>
    <m/>
    <n v="76911"/>
    <n v="13843.98"/>
    <m/>
  </r>
  <r>
    <n v="458"/>
    <s v="Computers"/>
    <x v="2"/>
    <s v="RakeshTradingCompany"/>
    <s v="RTC2526G16580"/>
    <d v="2025-12-23T00:00:00"/>
    <d v="2025-12-23T00:00:00"/>
    <m/>
    <x v="457"/>
    <x v="1"/>
    <m/>
    <m/>
    <n v="17600"/>
    <n v="3168"/>
    <m/>
  </r>
  <r>
    <n v="459"/>
    <s v="Computers"/>
    <x v="0"/>
    <s v="RakeshTradingCompany"/>
    <s v="RTC2526G17416"/>
    <d v="2026-01-12T00:00:00"/>
    <d v="2026-01-12T00:00:00"/>
    <m/>
    <x v="458"/>
    <x v="1"/>
    <m/>
    <m/>
    <n v="190524"/>
    <n v="34294.32"/>
    <m/>
  </r>
  <r>
    <n v="460"/>
    <s v="Computers"/>
    <x v="2"/>
    <s v="RakeshTradingCompany"/>
    <s v="RTC2526G17416"/>
    <d v="2026-01-12T00:00:00"/>
    <d v="2026-01-12T00:00:00"/>
    <m/>
    <x v="459"/>
    <x v="1"/>
    <m/>
    <m/>
    <n v="17600"/>
    <n v="3168"/>
    <m/>
  </r>
  <r>
    <n v="461"/>
    <s v="Computers"/>
    <x v="2"/>
    <s v="RakeshTradingCompany"/>
    <s v="RTC2526G18263"/>
    <d v="2026-01-29T00:00:00"/>
    <d v="2026-01-28T00:00:00"/>
    <m/>
    <x v="460"/>
    <x v="1"/>
    <m/>
    <m/>
    <n v="17600"/>
    <n v="3168"/>
    <m/>
  </r>
  <r>
    <n v="462"/>
    <s v="Computers"/>
    <x v="2"/>
    <s v="RakeshTradingCompany"/>
    <s v="RTC2526G18262"/>
    <d v="2026-01-29T00:00:00"/>
    <d v="2026-01-28T00:00:00"/>
    <m/>
    <x v="461"/>
    <x v="1"/>
    <m/>
    <m/>
    <n v="17600"/>
    <n v="3168"/>
    <m/>
  </r>
  <r>
    <n v="463"/>
    <s v="Computers"/>
    <x v="2"/>
    <s v="RakeshTradingCompany"/>
    <s v="RTC2526G18264"/>
    <d v="2026-02-01T00:00:00"/>
    <d v="2026-01-28T00:00:00"/>
    <m/>
    <x v="462"/>
    <x v="1"/>
    <m/>
    <m/>
    <n v="17600"/>
    <n v="3168"/>
    <m/>
  </r>
  <r>
    <n v="464"/>
    <s v="Computers"/>
    <x v="0"/>
    <s v="BluehillRetail"/>
    <s v="G/25-26/190"/>
    <d v="2025-11-07T00:00:00"/>
    <d v="2025-11-07T00:00:00"/>
    <m/>
    <x v="463"/>
    <x v="1"/>
    <m/>
    <m/>
    <n v="98135.59"/>
    <n v="17664.400000000001"/>
    <m/>
  </r>
  <r>
    <n v="465"/>
    <s v="Computers"/>
    <x v="0"/>
    <s v="BluehillRetail"/>
    <s v="G/25-26/189"/>
    <d v="2025-11-07T00:00:00"/>
    <d v="2025-11-07T00:00:00"/>
    <m/>
    <x v="464"/>
    <x v="1"/>
    <m/>
    <m/>
    <n v="98135.59"/>
    <n v="17664.400000000001"/>
    <m/>
  </r>
  <r>
    <n v="466"/>
    <s v="Computers"/>
    <x v="0"/>
    <s v="BluehillRetail"/>
    <s v="G/25-26/188"/>
    <d v="2025-11-07T00:00:00"/>
    <d v="2025-11-07T00:00:00"/>
    <m/>
    <x v="465"/>
    <x v="1"/>
    <m/>
    <m/>
    <n v="98135.59"/>
    <n v="17664.400000000001"/>
    <m/>
  </r>
  <r>
    <n v="467"/>
    <s v="Computers"/>
    <x v="0"/>
    <s v="RakeshTradingCompany"/>
    <s v="RTC2526G13999"/>
    <d v="2025-11-12T00:00:00"/>
    <d v="2025-11-12T00:00:00"/>
    <m/>
    <x v="466"/>
    <x v="0"/>
    <m/>
    <m/>
    <n v="190524"/>
    <n v="34294.32"/>
    <m/>
  </r>
  <r>
    <n v="468"/>
    <s v="Computers"/>
    <x v="0"/>
    <s v="BluehillRetail"/>
    <s v="G/25-26/151"/>
    <d v="2025-11-18T00:00:00"/>
    <d v="2025-10-08T00:00:00"/>
    <m/>
    <x v="467"/>
    <x v="0"/>
    <m/>
    <m/>
    <n v="91949.15"/>
    <n v="13881.36"/>
    <m/>
  </r>
  <r>
    <n v="469"/>
    <s v="Computers"/>
    <x v="0"/>
    <s v="RakeshTradingCompany"/>
    <s v="RTC2526G14833"/>
    <d v="2025-11-27T00:00:00"/>
    <d v="2025-11-26T00:00:00"/>
    <m/>
    <x v="468"/>
    <x v="0"/>
    <m/>
    <m/>
    <n v="190524"/>
    <n v="34294.32"/>
    <m/>
  </r>
  <r>
    <n v="470"/>
    <s v="Computers"/>
    <x v="0"/>
    <s v="RakeshTradingCompany"/>
    <s v="RTC2526G15215"/>
    <d v="2025-12-04T00:00:00"/>
    <d v="2025-12-03T00:00:00"/>
    <m/>
    <x v="39"/>
    <x v="1"/>
    <m/>
    <m/>
    <n v="190524"/>
    <n v="34294.32"/>
    <m/>
  </r>
  <r>
    <n v="471"/>
    <s v="Computers"/>
    <x v="0"/>
    <s v="RakeshTradingCompany"/>
    <s v="RTC2526G17126"/>
    <d v="2026-01-07T00:00:00"/>
    <d v="2026-01-07T00:00:00"/>
    <m/>
    <x v="39"/>
    <x v="1"/>
    <m/>
    <m/>
    <n v="190524"/>
    <n v="34294.32"/>
    <m/>
  </r>
  <r>
    <n v="472"/>
    <s v="Computers"/>
    <x v="0"/>
    <s v="RakeshTradingCompany"/>
    <s v="RTC2526G17126"/>
    <d v="2026-01-07T00:00:00"/>
    <d v="2026-01-07T00:00:00"/>
    <m/>
    <x v="39"/>
    <x v="1"/>
    <m/>
    <m/>
    <n v="190524"/>
    <n v="34294.32"/>
    <m/>
  </r>
  <r>
    <n v="473"/>
    <s v="Computers"/>
    <x v="0"/>
    <s v="RakeshTradingCompany"/>
    <s v="RTC2526G17126"/>
    <d v="2026-01-07T00:00:00"/>
    <d v="2026-01-07T00:00:00"/>
    <m/>
    <x v="39"/>
    <x v="1"/>
    <m/>
    <m/>
    <n v="190524"/>
    <n v="34294.32"/>
    <m/>
  </r>
  <r>
    <n v="474"/>
    <s v="Computers"/>
    <x v="0"/>
    <s v="RakeshTradingCompany"/>
    <s v="RTC2526G17414"/>
    <d v="2026-01-13T00:00:00"/>
    <d v="2026-01-12T00:00:00"/>
    <m/>
    <x v="39"/>
    <x v="1"/>
    <m/>
    <m/>
    <n v="153898"/>
    <n v="27701.64"/>
    <m/>
  </r>
  <r>
    <n v="475"/>
    <s v="Computers"/>
    <x v="0"/>
    <s v="RakeshTradingCompany"/>
    <s v="RTC2526G17639"/>
    <d v="2026-01-16T00:00:00"/>
    <d v="2025-12-16T00:00:00"/>
    <m/>
    <x v="39"/>
    <x v="1"/>
    <m/>
    <m/>
    <n v="190524"/>
    <n v="34294.32"/>
    <m/>
  </r>
  <r>
    <n v="476"/>
    <s v="Computers"/>
    <x v="0"/>
    <s v="RakeshTradingCompany"/>
    <s v="RTC2526G17635"/>
    <d v="2026-01-16T00:00:00"/>
    <d v="2026-01-16T00:00:00"/>
    <m/>
    <x v="39"/>
    <x v="1"/>
    <m/>
    <m/>
    <n v="190524"/>
    <n v="34294.32"/>
    <m/>
  </r>
  <r>
    <n v="477"/>
    <s v="Computers"/>
    <x v="0"/>
    <s v="RakeshTradingCompany"/>
    <s v="RTC2526G18565"/>
    <d v="2026-02-04T00:00:00"/>
    <d v="2026-02-02T00:00:00"/>
    <m/>
    <x v="39"/>
    <x v="1"/>
    <m/>
    <m/>
    <n v="190524"/>
    <n v="34294.32"/>
    <m/>
  </r>
  <r>
    <n v="478"/>
    <s v="Computers"/>
    <x v="0"/>
    <s v="SPEcoreworkPrivateLimited"/>
    <s v="SP-1877"/>
    <d v="2026-02-09T00:00:00"/>
    <d v="2026-02-09T00:00:00"/>
    <m/>
    <x v="39"/>
    <x v="1"/>
    <m/>
    <m/>
    <n v="190602"/>
    <n v="34308.36"/>
    <m/>
  </r>
  <r>
    <n v="479"/>
    <s v="Computers"/>
    <x v="0"/>
    <s v="SPEcoreworkPrivateLimited"/>
    <s v="SP-1877"/>
    <d v="2026-02-09T00:00:00"/>
    <d v="2026-02-09T00:00:00"/>
    <m/>
    <x v="39"/>
    <x v="1"/>
    <m/>
    <m/>
    <n v="190602"/>
    <n v="34308.36"/>
    <m/>
  </r>
  <r>
    <n v="480"/>
    <s v="Computers"/>
    <x v="0"/>
    <s v="SPEcoreworkPrivateLimited"/>
    <s v="SP-1878"/>
    <d v="2026-02-17T00:00:00"/>
    <d v="2026-02-17T00:00:00"/>
    <m/>
    <x v="39"/>
    <x v="1"/>
    <m/>
    <m/>
    <n v="190602"/>
    <n v="34308.36"/>
    <m/>
  </r>
  <r>
    <n v="481"/>
    <s v="Computers"/>
    <x v="0"/>
    <s v="SPEcoreworkPrivateLimited"/>
    <s v="SP-1878"/>
    <d v="2026-02-17T00:00:00"/>
    <d v="2026-02-17T00:00:00"/>
    <m/>
    <x v="39"/>
    <x v="1"/>
    <m/>
    <m/>
    <n v="75338.98"/>
    <n v="13561.016399999999"/>
    <m/>
  </r>
  <r>
    <n v="482"/>
    <s v="Computers"/>
    <x v="0"/>
    <s v="SPEcoreworkPrivateLimited"/>
    <s v="SP-1878"/>
    <d v="2026-02-17T00:00:00"/>
    <d v="2026-02-17T00:00:00"/>
    <m/>
    <x v="39"/>
    <x v="1"/>
    <m/>
    <m/>
    <n v="159237.28"/>
    <n v="28662.7104"/>
    <m/>
  </r>
  <r>
    <n v="483"/>
    <s v="Computers"/>
    <x v="0"/>
    <s v="SPEcoreworkPrivateLimited"/>
    <s v="SP-1878"/>
    <d v="2026-02-17T00:00:00"/>
    <d v="2026-02-17T00:00:00"/>
    <m/>
    <x v="39"/>
    <x v="1"/>
    <m/>
    <m/>
    <n v="190602"/>
    <n v="34308.36"/>
    <m/>
  </r>
  <r>
    <n v="484"/>
    <s v="Computers"/>
    <x v="0"/>
    <s v="RakeshTradingCompany"/>
    <s v="RTC2526G17441"/>
    <d v="2026-02-26T00:00:00"/>
    <d v="2026-01-12T00:00:00"/>
    <m/>
    <x v="39"/>
    <x v="1"/>
    <m/>
    <m/>
    <n v="190524"/>
    <n v="34294.32"/>
    <m/>
  </r>
  <r>
    <n v="485"/>
    <s v="Computers"/>
    <x v="0"/>
    <s v="RakeshTradingCompany"/>
    <s v="RTC2223G16085"/>
    <d v="2022-12-23T00:00:00"/>
    <d v="2022-12-23T00:00:00"/>
    <m/>
    <x v="39"/>
    <x v="0"/>
    <m/>
    <m/>
    <n v="182901"/>
    <n v="32922.18"/>
    <m/>
  </r>
  <r>
    <n v="486"/>
    <s v="Computers"/>
    <x v="0"/>
    <s v="RakeshTradingCompany"/>
    <s v="RTC2223G20853"/>
    <d v="2023-03-29T00:00:00"/>
    <d v="2023-03-30T00:00:00"/>
    <m/>
    <x v="39"/>
    <x v="1"/>
    <m/>
    <m/>
    <n v="176430"/>
    <n v="31757.4"/>
    <m/>
  </r>
  <r>
    <n v="487"/>
    <s v="Computers"/>
    <x v="0"/>
    <s v="RakeshTradingCompany"/>
    <s v="RTC2223G20854"/>
    <d v="2023-03-29T00:00:00"/>
    <d v="2023-03-30T00:00:00"/>
    <m/>
    <x v="39"/>
    <x v="1"/>
    <m/>
    <m/>
    <n v="115500"/>
    <n v="20790"/>
    <m/>
  </r>
  <r>
    <n v="488"/>
    <s v="Computers"/>
    <x v="0"/>
    <s v="RakeshTradingCompany"/>
    <s v="RTC2223G15268"/>
    <d v="2022-12-07T00:00:00"/>
    <d v="2022-12-08T00:00:00"/>
    <m/>
    <x v="39"/>
    <x v="1"/>
    <m/>
    <m/>
    <n v="99850"/>
    <n v="17973"/>
    <m/>
  </r>
  <r>
    <n v="489"/>
    <s v="Computers"/>
    <x v="0"/>
    <s v="RakeshTradingCompany"/>
    <s v="RTC2223G15269"/>
    <d v="2022-12-07T00:00:00"/>
    <d v="2022-12-08T00:00:00"/>
    <m/>
    <x v="39"/>
    <x v="1"/>
    <m/>
    <m/>
    <n v="120000"/>
    <n v="21600"/>
    <m/>
  </r>
  <r>
    <n v="490"/>
    <s v="Computers"/>
    <x v="1"/>
    <s v="RakeshTradingCompany"/>
    <s v="RTC2223G15270"/>
    <d v="2022-12-07T00:00:00"/>
    <d v="2022-12-08T00:00:00"/>
    <m/>
    <x v="39"/>
    <x v="0"/>
    <m/>
    <m/>
    <n v="17067"/>
    <n v="3072.06"/>
    <m/>
  </r>
  <r>
    <n v="491"/>
    <s v="Computers"/>
    <x v="1"/>
    <s v="RakeshTradingCompany"/>
    <s v="RTC2223G15270"/>
    <d v="2022-12-07T00:00:00"/>
    <d v="2022-12-08T00:00:00"/>
    <m/>
    <x v="39"/>
    <x v="0"/>
    <m/>
    <m/>
    <n v="17067"/>
    <n v="3072.06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">
  <r>
    <n v="1"/>
    <s v="GAURAVASATI"/>
    <s v="CB-66"/>
    <s v="gaurav@lyric.tech"/>
    <x v="0"/>
    <s v="CY37H4ZT600126X(Needtocheckwhetherthisserialnumberbelongstoamonitororadesktop)"/>
    <b v="1"/>
  </r>
  <r>
    <n v="2"/>
    <s v="PorkumaranGopal"/>
    <s v="porkumaran@lyric.tech"/>
    <s v="porkumaran@lyric.tech"/>
    <x v="0"/>
    <s v="A69E897D-7CAA-4AB9-A9F0-8FDD83566A3D(Needtocheckwhetherthisserialnumberbelongstoamonitororadesktop)"/>
    <m/>
  </r>
  <r>
    <n v="3"/>
    <s v="SUJITHAVENKATESHWARAN"/>
    <s v="CB-164"/>
    <s v="sujitha@lyric.tech"/>
    <x v="0"/>
    <s v="R-41074926"/>
    <m/>
  </r>
  <r>
    <n v="4"/>
    <s v="KarthikSharma"/>
    <s v="CB-181"/>
    <s v="karthik.sharma@lyric.tech"/>
    <x v="1"/>
    <s v="F0THHN08FUA0000GRF"/>
    <m/>
  </r>
  <r>
    <n v="5"/>
    <s v="LokeshSinghMahar"/>
    <s v="CB-47"/>
    <s v="lokesh@lyric.tech"/>
    <x v="1"/>
    <s v="F0T4087RQHA13CVBR"/>
    <m/>
  </r>
  <r>
    <n v="6"/>
    <s v="MadhukarMMallia"/>
    <s v="CB-49"/>
    <s v="madhukar@lyric.tech"/>
    <x v="1"/>
    <s v="F0T4084RGKG13CV"/>
    <m/>
  </r>
  <r>
    <n v="7"/>
    <s v="MustafaVora"/>
    <s v="CB-48"/>
    <s v="mustafa@lyric.tech"/>
    <x v="1"/>
    <s v="2404CE29B868"/>
    <m/>
  </r>
  <r>
    <n v="8"/>
    <s v="AadityaMahadevan"/>
    <s v="CB-155"/>
    <s v="aaditya@lyric.tech"/>
    <x v="2"/>
    <s v="F4WJG4Y50W"/>
    <m/>
  </r>
  <r>
    <n v="9"/>
    <s v="AakashKaushik"/>
    <s v="CB-114"/>
    <s v="aakash@lyric.tech"/>
    <x v="2"/>
    <s v="LG3XTXTH3W"/>
    <b v="1"/>
  </r>
  <r>
    <n v="10"/>
    <s v="AbdulVahithZ"/>
    <s v="CB-22"/>
    <s v="abdul@lyric.tech"/>
    <x v="2"/>
    <s v="JXPJQJVNNX"/>
    <m/>
  </r>
  <r>
    <n v="11"/>
    <s v="AbhishekNahar"/>
    <s v="CB-133"/>
    <s v="abhishek@lyric.tech"/>
    <x v="2"/>
    <s v="YR52GQ3NPJ"/>
    <s v="True "/>
  </r>
  <r>
    <n v="12"/>
    <s v="AdityaJaroli"/>
    <s v="aditya.j@lyric.tech"/>
    <s v="aditya.j@lyric.tech"/>
    <x v="2"/>
    <s v="C4494R72L7"/>
    <b v="1"/>
  </r>
  <r>
    <n v="13"/>
    <s v="AkashKumar"/>
    <s v="CB-56"/>
    <s v="akash@lyric.tech"/>
    <x v="2"/>
    <s v="GR2G2TX2LK"/>
    <b v="1"/>
  </r>
  <r>
    <n v="14"/>
    <s v="AkhilNaravi"/>
    <s v="CB-18"/>
    <s v="akhil@lyric.tech"/>
    <x v="2"/>
    <s v="K4NG9C9KK"/>
    <m/>
  </r>
  <r>
    <n v="15"/>
    <s v="AkhouryShauryam"/>
    <s v="CB-91"/>
    <s v="akhoury@lyric.tech"/>
    <x v="2"/>
    <s v="FQTWQPF7D5"/>
    <b v="1"/>
  </r>
  <r>
    <n v="16"/>
    <s v="AkshatJain"/>
    <s v="akshat@lyric.tech"/>
    <s v="akshat@lyric.tech"/>
    <x v="2"/>
    <s v="XNCWRJV9X5"/>
    <b v="1"/>
  </r>
  <r>
    <n v="17"/>
    <s v="AkshayaUthamaputhiran"/>
    <s v="CB_168"/>
    <s v="akshaya@lyric.tech"/>
    <x v="2"/>
    <s v="H9P2NGC2DG"/>
    <b v="1"/>
  </r>
  <r>
    <n v="18"/>
    <s v="AlenSebastian"/>
    <s v="40"/>
    <s v="alen@lyric.tech"/>
    <x v="2"/>
    <s v="VH2HV62MPJ"/>
    <s v="True "/>
  </r>
  <r>
    <n v="19"/>
    <s v="AmanAgarwal"/>
    <s v="CB-90"/>
    <s v="aman@lyric.tech"/>
    <x v="2"/>
    <s v="CY7C145469"/>
    <b v="1"/>
  </r>
  <r>
    <n v="20"/>
    <s v="AmanVerma"/>
    <s v="CB-143"/>
    <s v="aman.verma@lyric.tech"/>
    <x v="2"/>
    <s v="GGJ9LX6F7T"/>
    <b v="1"/>
  </r>
  <r>
    <n v="21"/>
    <s v="AmishAshishSaxena"/>
    <s v="CB-157"/>
    <s v="amish@lyric.tech"/>
    <x v="2"/>
    <s v="G006F7TLJD"/>
    <m/>
  </r>
  <r>
    <n v="22"/>
    <s v="AmitSingh"/>
    <s v="CB-82"/>
    <s v="amit@lyric.tech"/>
    <x v="2"/>
    <s v="DJYVFR7YGK"/>
    <b v="1"/>
  </r>
  <r>
    <n v="23"/>
    <s v="AniruddhGopale"/>
    <s v="CB-176"/>
    <s v="aniruddh@lyric.tech"/>
    <x v="2"/>
    <s v="D2JYQDMCXP"/>
    <b v="1"/>
  </r>
  <r>
    <n v="24"/>
    <s v="AnjanaySaxena"/>
    <s v="CB-134"/>
    <s v="anjanay@lyric.tech"/>
    <x v="2"/>
    <s v="GCWJRV73L9"/>
    <b v="1"/>
  </r>
  <r>
    <n v="25"/>
    <s v="AnkitGupta"/>
    <s v="CB-45"/>
    <s v="ankit@lyric.tech"/>
    <x v="2"/>
    <s v="PF44JJ92"/>
    <m/>
  </r>
  <r>
    <n v="26"/>
    <s v="AnshulGupta"/>
    <s v="CB-177"/>
    <s v="anshul@lyric.tech"/>
    <x v="2"/>
    <s v="K7G3N9CK2K"/>
    <b v="1"/>
  </r>
  <r>
    <n v="27"/>
    <s v="AnugyaSrivastava"/>
    <s v="CB-145"/>
    <s v="anugya@lyric.tech"/>
    <x v="2"/>
    <s v="JG3RG90Y4V"/>
    <b v="1"/>
  </r>
  <r>
    <n v="28"/>
    <s v="AnujShirgaonkar"/>
    <s v="CB-74"/>
    <s v="anuj@lyric.tech"/>
    <x v="2"/>
    <s v="GHWX77HFNP"/>
    <m/>
  </r>
  <r>
    <n v="29"/>
    <s v="AnuragAgrawal"/>
    <s v="CB-138"/>
    <s v="anurag@lyric.tech"/>
    <x v="2"/>
    <s v="DWFL63W2RC"/>
    <b v="1"/>
  </r>
  <r>
    <n v="30"/>
    <s v="ApoorvGarg"/>
    <s v="CB-11"/>
    <s v="apoorv@lyric.tech"/>
    <x v="2"/>
    <s v="HL0G49M4K2"/>
    <s v="True "/>
  </r>
  <r>
    <n v="31"/>
    <s v="AritraMajumder"/>
    <s v="CB-137"/>
    <s v="aritra@lyric.tech"/>
    <x v="2"/>
    <s v="JXPRW7M446"/>
    <b v="1"/>
  </r>
  <r>
    <n v="32"/>
    <s v="ArnabKumarRoy"/>
    <s v="arnab@lyric.tech"/>
    <s v="arnab@lyric.tech"/>
    <x v="2"/>
    <s v="PF3PR0DQ"/>
    <b v="1"/>
  </r>
  <r>
    <n v="33"/>
    <s v="AshishSiyag"/>
    <s v="CB-55"/>
    <s v="ashish@lyric.tech"/>
    <x v="2"/>
    <s v="D57QX0QDTD"/>
    <b v="1"/>
  </r>
  <r>
    <n v="34"/>
    <s v="AshitaBoyina"/>
    <s v="CB-129"/>
    <s v="ashita@lyric.tech"/>
    <x v="2"/>
    <s v="D97K40K691"/>
    <b v="1"/>
  </r>
  <r>
    <n v="35"/>
    <s v="AshwinGarg"/>
    <s v="CB-142"/>
    <s v="ashwin@lyric.tech"/>
    <x v="2"/>
    <s v="MVG67HWMQX"/>
    <b v="1"/>
  </r>
  <r>
    <n v="36"/>
    <s v="AthiraT"/>
    <s v="CB-84"/>
    <s v="athira@lyric.tech"/>
    <x v="2"/>
    <s v="KJ6F67XX4N"/>
    <b v="1"/>
  </r>
  <r>
    <n v="37"/>
    <s v="AviralSingh"/>
    <s v="aviral@lyric.tech"/>
    <s v="aviral@lyric.tech"/>
    <x v="2"/>
    <s v="PF-5DQ9NX"/>
    <m/>
  </r>
  <r>
    <n v="38"/>
    <s v="AyoneeSengupta"/>
    <s v="CB-147"/>
    <s v="ayonee@lyric.tech"/>
    <x v="2"/>
    <s v="MWQ9Y0GVCM"/>
    <b v="1"/>
  </r>
  <r>
    <n v="39"/>
    <s v="BalramRathore"/>
    <s v="CB-61"/>
    <s v="balram@lyric.tech"/>
    <x v="2"/>
    <s v="MMPKFCY2YF"/>
    <b v="1"/>
  </r>
  <r>
    <n v="40"/>
    <s v="BhaarathVijayRamesh"/>
    <s v="CB-3"/>
    <s v="bhaarath@lyric.tech"/>
    <x v="2"/>
    <s v="Y79H1GH10G"/>
    <s v="True "/>
  </r>
  <r>
    <n v="41"/>
    <s v="BharatUpadrasta"/>
    <s v="CB-131"/>
    <s v="bharat@lyric.tech"/>
    <x v="2"/>
    <s v="DHNP4QDYYK"/>
    <b v="1"/>
  </r>
  <r>
    <n v="42"/>
    <s v="ChaitanyaKulkarni"/>
    <s v="CB-71"/>
    <s v="chaitanya@lyric.tech"/>
    <x v="2"/>
    <s v="GV33WGQ0HL"/>
    <b v="1"/>
  </r>
  <r>
    <n v="43"/>
    <s v="DasariJeevanSwaroop"/>
    <s v="CB-15"/>
    <s v="jeevan@lyric.tech"/>
    <x v="2"/>
    <s v="D17HVJ14F1"/>
    <m/>
  </r>
  <r>
    <n v="44"/>
    <s v="DasariSaiSaranya"/>
    <s v="INT-003"/>
    <s v="saranya@lyric.tech"/>
    <x v="2"/>
    <s v="DESKTOP-TKN1J28,20W0S1HU00"/>
    <m/>
  </r>
  <r>
    <n v="45"/>
    <s v="DebaKalyanMohanty"/>
    <s v="CB-42"/>
    <s v="deb@lyric.tech"/>
    <x v="2"/>
    <s v="0F3DBVH24043FB"/>
    <m/>
  </r>
  <r>
    <n v="46"/>
    <s v="DhammapalAvhad"/>
    <s v="CB-167"/>
    <s v="dhammapal@lyric.tech"/>
    <x v="2"/>
    <s v="DX-0008H9"/>
    <m/>
  </r>
  <r>
    <n v="47"/>
    <s v="Dhawal"/>
    <s v="CB-188"/>
    <s v="dhawal@lyric.tech"/>
    <x v="2"/>
    <s v="JN371C6RWM"/>
    <b v="1"/>
  </r>
  <r>
    <n v="48"/>
    <s v="DivyanshDubey"/>
    <s v="C-161"/>
    <s v="divyansh@lyric.tech"/>
    <x v="2"/>
    <s v="J7P6PV3X45"/>
    <b v="1"/>
  </r>
  <r>
    <n v="49"/>
    <s v="GAURAVASATI"/>
    <s v="CB-66"/>
    <s v="gaurav@lyric.tech"/>
    <x v="2"/>
    <s v="PF44YCQL"/>
    <b v="1"/>
  </r>
  <r>
    <n v="50"/>
    <s v="GaneshPrasadBG"/>
    <s v="CB-193"/>
    <s v="ganesh.prasad@lyric.tech"/>
    <x v="2"/>
    <s v="D4JWHMWWYR"/>
    <b v="1"/>
  </r>
  <r>
    <n v="51"/>
    <s v="GayathriSivaprakasam"/>
    <s v="CB-79"/>
    <s v="gayathri@lyric.tech"/>
    <x v="2"/>
    <s v="H70T4HJGQC"/>
    <b v="1"/>
  </r>
  <r>
    <n v="52"/>
    <s v="Gokul"/>
    <s v="CB012"/>
    <s v="gokul@lyric.tech"/>
    <x v="2"/>
    <s v="DF06FMVD9L"/>
    <b v="1"/>
  </r>
  <r>
    <n v="53"/>
    <s v="GowthamanC"/>
    <s v="INT-006"/>
    <s v="gowthaman@lyric.tech"/>
    <x v="2"/>
    <s v="H23CQ4PH9Y"/>
    <m/>
  </r>
  <r>
    <n v="54"/>
    <s v="HarikalaPrasathA"/>
    <s v="harikalaprasath@lyric.tech"/>
    <s v="harikalaprasath@lyric.tech"/>
    <x v="2"/>
    <s v="HVWCL2XD61"/>
    <b v="1"/>
  </r>
  <r>
    <n v="55"/>
    <s v="HarshSharma"/>
    <s v="CB-186"/>
    <s v="harsh@lyric.tech"/>
    <x v="2"/>
    <s v="D9KWRJ67HT"/>
    <b v="1"/>
  </r>
  <r>
    <n v="56"/>
    <s v="HimanshuSaraswat"/>
    <s v="CB-53"/>
    <s v="himanshu@lyric.tech"/>
    <x v="2"/>
    <s v="CGJ99Q34XT"/>
    <b v="1"/>
  </r>
  <r>
    <n v="57"/>
    <s v="IshaChopra"/>
    <s v="CB-87"/>
    <s v="isha@lyric.tech"/>
    <x v="2"/>
    <s v="MC6WQNYFQT"/>
    <b v="1"/>
  </r>
  <r>
    <n v="58"/>
    <s v="JaeyanthJKV"/>
    <s v="CB-96"/>
    <s v="jaeyanth@lyric.tech"/>
    <x v="2"/>
    <s v="M5J9LHDY55"/>
    <b v="1"/>
  </r>
  <r>
    <n v="59"/>
    <s v="JatinPanjwani"/>
    <s v="CB-149"/>
    <s v="jatin@lyric.tech"/>
    <x v="2"/>
    <s v="L9FJ21KGW4"/>
    <b v="1"/>
  </r>
  <r>
    <n v="60"/>
    <s v="JitendraKumarSingh"/>
    <s v="CB-88"/>
    <s v="jitendra@lyric.tech"/>
    <x v="2"/>
    <s v="GW7TP70VFQ"/>
    <b v="1"/>
  </r>
  <r>
    <n v="61"/>
    <s v="JyotiranjanSahoo"/>
    <s v="CB-116"/>
    <s v="jyotiranjan@lyric.tech"/>
    <x v="2"/>
    <s v="D35Q65FCJJ"/>
    <b v="1"/>
  </r>
  <r>
    <n v="62"/>
    <s v="KanupriyaSharma"/>
    <s v="CB-72"/>
    <s v="kanupriya@lyric.tech"/>
    <x v="2"/>
    <s v="CM2GQ4GPXJ"/>
    <b v="1"/>
  </r>
  <r>
    <n v="63"/>
    <s v="KarthikMuthukrishnan"/>
    <s v="karthik@lyric.tech"/>
    <s v="karthik@lyric.tech"/>
    <x v="2"/>
    <s v="VF6WW3FQ49"/>
    <s v="True "/>
  </r>
  <r>
    <n v="64"/>
    <s v="KarthikSharma"/>
    <s v="CB-181"/>
    <s v="karthik.sharma@lyric.tech"/>
    <x v="2"/>
    <s v="F60WY39GP6"/>
    <b v="1"/>
  </r>
  <r>
    <n v="65"/>
    <s v="KartikChaudhary"/>
    <s v="CB-135"/>
    <s v="kartik@lyric.tech"/>
    <x v="2"/>
    <s v="LYG5XW6R6Y"/>
    <b v="1"/>
  </r>
  <r>
    <n v="66"/>
    <s v="KishoreAdiraju"/>
    <s v="CB-182"/>
    <s v="kishore@lyric.tech"/>
    <x v="2"/>
    <s v="DX-0007Q2"/>
    <m/>
  </r>
  <r>
    <n v="67"/>
    <s v="KislayKumar"/>
    <s v="kislay@lyric.tech"/>
    <s v="kislay@lyric.tech"/>
    <x v="2"/>
    <s v="GM2RD9GP44"/>
    <b v="1"/>
  </r>
  <r>
    <n v="68"/>
    <s v="KrishnatTanajiDisale"/>
    <s v="CB-83"/>
    <s v="krishnat@lyric.tech"/>
    <x v="2"/>
    <s v="PF3PX6AK"/>
    <b v="1"/>
  </r>
  <r>
    <n v="69"/>
    <s v="KritiHSahoo"/>
    <s v="CB-187"/>
    <s v="kriti@lyric.tech"/>
    <x v="2"/>
    <s v="DX000850"/>
    <b v="1"/>
  </r>
  <r>
    <n v="70"/>
    <s v="KuldeepNJ"/>
    <s v="CB-153"/>
    <s v="kuldeep@lyric.tech"/>
    <x v="2"/>
    <s v="M1YCJX06RT"/>
    <b v="1"/>
  </r>
  <r>
    <n v="71"/>
    <s v="LakshmiGanapathy"/>
    <s v="CB-7"/>
    <s v="ganapathy@lyric.tech"/>
    <x v="2"/>
    <s v="C02H108SQ6LT"/>
    <s v="True "/>
  </r>
  <r>
    <n v="72"/>
    <s v="LokeshSinghMahar"/>
    <s v="CB-47"/>
    <s v="lokesh@lyric.tech"/>
    <x v="2"/>
    <s v="DHK4N6JGP7"/>
    <b v="1"/>
  </r>
  <r>
    <n v="73"/>
    <s v="Lokeshwaran"/>
    <s v="CB-174"/>
    <s v="lokeshwaran@lyric.tech"/>
    <x v="2"/>
    <s v="HK67Y0HY9W"/>
    <b v="1"/>
  </r>
  <r>
    <n v="74"/>
    <s v="MADHURGUPTA"/>
    <s v="CB-33"/>
    <s v="madhur@lyric.tech"/>
    <x v="2"/>
    <s v="Y719GFTXTW"/>
    <m/>
  </r>
  <r>
    <n v="75"/>
    <s v="MadhukarMMallia"/>
    <s v="CB-49"/>
    <s v="madhukar@lyric.tech"/>
    <x v="2"/>
    <s v="J721QQGHP1"/>
    <s v="True "/>
  </r>
  <r>
    <n v="76"/>
    <s v="MallikarjunHanamantrayaBiradar"/>
    <s v="mallikarjuna@lyric.tech"/>
    <s v="mallikarjuna@lyric.tech"/>
    <x v="2"/>
    <s v="MY60PWRXN6"/>
    <b v="1"/>
  </r>
  <r>
    <n v="77"/>
    <s v="ManeshNarayanK"/>
    <s v="CB-136"/>
    <s v="manesh@lyric.tech"/>
    <x v="2"/>
    <s v="F6V0X95M49"/>
    <b v="1"/>
  </r>
  <r>
    <n v="78"/>
    <s v="MangeshGhandat"/>
    <s v="CB-68"/>
    <s v="mangesh@lyric.tech"/>
    <x v="2"/>
    <s v="7CC2A35B-0905-4F01-AC58-91B5260E9A93"/>
    <m/>
  </r>
  <r>
    <n v="79"/>
    <s v="ManojMuthu"/>
    <s v="CB-117"/>
    <s v="manoj@lyric.tech"/>
    <x v="2"/>
    <s v="FWFJP20NYF"/>
    <b v="1"/>
  </r>
  <r>
    <n v="80"/>
    <s v="MayankKukreti"/>
    <s v="mayank@lyric.tech"/>
    <s v="mayank@lyric.tech"/>
    <x v="2"/>
    <s v="GG3YNJ2WC9"/>
    <b v="1"/>
  </r>
  <r>
    <n v="81"/>
    <s v="MayurRupraojiMorey"/>
    <s v="CB-121"/>
    <s v="mayur@lyric.tech"/>
    <x v="2"/>
    <s v="G40QY3J5X7"/>
    <b v="1"/>
  </r>
  <r>
    <n v="82"/>
    <s v="MeenarliSharma"/>
    <s v="CB30"/>
    <s v="meenarli@lyric.tech"/>
    <x v="2"/>
    <s v="MVC7JLXHR7"/>
    <b v="1"/>
  </r>
  <r>
    <n v="83"/>
    <s v="MilindKanetkar"/>
    <s v="CB-64"/>
    <s v="milind@lyric.tech"/>
    <x v="2"/>
    <s v="J62Y7V9Y9N"/>
    <b v="1"/>
  </r>
  <r>
    <n v="84"/>
    <s v="MohammadAwezKhan"/>
    <s v="CB-28"/>
    <s v="awez@lyric.tech"/>
    <x v="2"/>
    <s v="GQ3002L3XV"/>
    <b v="1"/>
  </r>
  <r>
    <n v="85"/>
    <s v="MustafaVora"/>
    <s v="CB-48"/>
    <s v="mustafa@lyric.tech"/>
    <x v="2"/>
    <s v="C7X3Q6146H"/>
    <b v="1"/>
  </r>
  <r>
    <n v="86"/>
    <s v="MustajabIkram"/>
    <s v="CB-180"/>
    <s v="mustajab@lyric.tech"/>
    <x v="2"/>
    <s v="HG34W9T6HK"/>
    <b v="1"/>
  </r>
  <r>
    <n v="87"/>
    <s v="NITHINMTHOMAS"/>
    <s v="CB-124"/>
    <s v="nithin@lyric.tech"/>
    <x v="2"/>
    <s v="MFLWX79L5Y"/>
    <m/>
  </r>
  <r>
    <n v="88"/>
    <s v="NamahShrestha"/>
    <s v="CB-58"/>
    <s v="namah@lyric.tech"/>
    <x v="2"/>
    <s v="HFL44MMPKW"/>
    <b v="1"/>
  </r>
  <r>
    <n v="89"/>
    <s v="NamanMaheshwari"/>
    <s v="CB-158"/>
    <s v="naman@lyric.tech"/>
    <x v="2"/>
    <s v="KN7PG752K9"/>
    <b v="1"/>
  </r>
  <r>
    <n v="90"/>
    <s v="NandanSatapathy"/>
    <s v="CB-89"/>
    <s v="nandan@lyric.tech"/>
    <x v="2"/>
    <s v="F17GH939HP"/>
    <b v="1"/>
  </r>
  <r>
    <n v="91"/>
    <s v="NavinM"/>
    <s v="CB-171"/>
    <s v="navin@lyric.tech"/>
    <x v="2"/>
    <s v="MVM22M7JN4"/>
    <m/>
  </r>
  <r>
    <n v="92"/>
    <s v="NeelamGarasia`"/>
    <s v="CB-183"/>
    <s v="neelam@lyric.tech"/>
    <x v="2"/>
    <s v="DX-0006YQ"/>
    <m/>
  </r>
  <r>
    <n v="93"/>
    <s v="NelsonManvelDias"/>
    <s v="CB-109"/>
    <s v="nelson@lyric.tech"/>
    <x v="2"/>
    <s v="K4DWYVV6GC"/>
    <m/>
  </r>
  <r>
    <n v="94"/>
    <s v="NirmitiJain"/>
    <s v="CB-36"/>
    <s v="nirmiti@lyric.tech"/>
    <x v="2"/>
    <s v="GK17QR4WLM"/>
    <s v="True "/>
  </r>
  <r>
    <n v="95"/>
    <s v="NitinNavali"/>
    <s v="CB-192"/>
    <s v="nitinnavali@lyric.tech"/>
    <x v="2"/>
    <s v="CNX3YYN242"/>
    <b v="1"/>
  </r>
  <r>
    <n v="96"/>
    <s v="NivedhanMurugavel"/>
    <s v="CB-16"/>
    <s v="nivedhan@lyric.tech"/>
    <x v="2"/>
    <s v="QJ7KMX6Y34"/>
    <s v="True "/>
  </r>
  <r>
    <n v="97"/>
    <s v="OmPrabhu"/>
    <s v="CB-60"/>
    <s v="om@lyric.tech"/>
    <x v="2"/>
    <s v="LXY7W70NG6"/>
    <b v="1"/>
  </r>
  <r>
    <n v="98"/>
    <s v="ParameswaranN"/>
    <s v="CB-34"/>
    <s v="parameswaran@lyric.tech"/>
    <x v="2"/>
    <s v="XRD702YPNF"/>
    <s v="True "/>
  </r>
  <r>
    <n v="99"/>
    <s v="PiyushSoni"/>
    <s v="CB-190"/>
    <s v="piyush@lyric.tech"/>
    <x v="2"/>
    <s v="JJNYVDHJ79"/>
    <b v="1"/>
  </r>
  <r>
    <n v="100"/>
    <s v="PorkumaranGopal"/>
    <s v="porkumaran@lyric.tech"/>
    <s v="porkumaran@lyric.tech"/>
    <x v="2"/>
    <s v="CYJ2XGYDTH"/>
    <b v="1"/>
  </r>
  <r>
    <n v="101"/>
    <s v="PradeepBorade"/>
    <s v="pradeep.borade@lyric.tech"/>
    <s v="pradeep.borade@lyric.tech"/>
    <x v="2"/>
    <s v="DX-00084B"/>
    <m/>
  </r>
  <r>
    <n v="102"/>
    <s v="PradeepVijayakumar"/>
    <s v="CB-20"/>
    <s v="pradeep@lyric.tech"/>
    <x v="2"/>
    <s v="W5X6MQ0KGM"/>
    <m/>
  </r>
  <r>
    <n v="103"/>
    <s v="PradhumnaRathore"/>
    <s v="CB-57"/>
    <s v="pradhumna@lyric.tech"/>
    <x v="2"/>
    <s v="F09FN2WTQP"/>
    <b v="1"/>
  </r>
  <r>
    <n v="104"/>
    <s v="PradyotMohanty"/>
    <s v="CB-52"/>
    <s v="pradyot@lyric.tech"/>
    <x v="2"/>
    <s v="G27VMWXQFG"/>
    <m/>
  </r>
  <r>
    <n v="105"/>
    <s v="PrasunAnand"/>
    <s v="CB-139"/>
    <s v="prasun@lyric.tech"/>
    <x v="2"/>
    <s v="M2W09VPG3Q"/>
    <m/>
  </r>
  <r>
    <n v="106"/>
    <s v="PrernaAgarwal"/>
    <s v="CB-108"/>
    <s v="prerna@lyric.tech"/>
    <x v="2"/>
    <s v="LXNTHL75Q7"/>
    <b v="1"/>
  </r>
  <r>
    <n v="107"/>
    <s v="PriyangManiTripathi"/>
    <s v="CB-191"/>
    <s v="priyang@lyric.tech"/>
    <x v="2"/>
    <s v="DTH3WVQTW9"/>
    <b v="1"/>
  </r>
  <r>
    <n v="108"/>
    <s v="PriyeshKumar"/>
    <s v="CB-93"/>
    <s v="priyesh@lyric.tech"/>
    <x v="2"/>
    <s v="PF3PRV40"/>
    <b v="1"/>
  </r>
  <r>
    <n v="109"/>
    <s v="PulkitKhandelwal"/>
    <s v="130"/>
    <s v="pulkit@lyric.tech"/>
    <x v="2"/>
    <s v="F79V2K2MFX"/>
    <b v="1"/>
  </r>
  <r>
    <n v="110"/>
    <s v="PushkarKishorOke"/>
    <s v="CB-35"/>
    <s v="pushkar@lyric.tech"/>
    <x v="2"/>
    <s v="PF42EWTC"/>
    <s v="True "/>
  </r>
  <r>
    <n v="111"/>
    <s v="RVVineethKumar"/>
    <s v="CB-78"/>
    <s v="vineeth@lyric.tech"/>
    <x v="2"/>
    <s v="PF-45NLV9"/>
    <m/>
  </r>
  <r>
    <n v="112"/>
    <s v="RahulRamesh"/>
    <s v="CB-103"/>
    <s v="rahul@lyric.tech"/>
    <x v="2"/>
    <s v="K4F7060YXQ"/>
    <b v="1"/>
  </r>
  <r>
    <n v="113"/>
    <s v="RahulRamesh"/>
    <s v="CB-103"/>
    <s v="rahul@lyric.tech"/>
    <x v="2"/>
    <s v="PF-5E7A2B"/>
    <m/>
  </r>
  <r>
    <n v="114"/>
    <s v="RajBasotia"/>
    <s v="CB-189"/>
    <s v="raj.basotia@lyric.tech"/>
    <x v="2"/>
    <s v="M09D1HPXD3"/>
    <b v="1"/>
  </r>
  <r>
    <n v="115"/>
    <s v="RajSharma"/>
    <s v="CB-152"/>
    <s v="raj@lyric.tech"/>
    <x v="2"/>
    <s v="H7HVW5DYX9"/>
    <b v="1"/>
  </r>
  <r>
    <n v="116"/>
    <s v="RajdeepChoudhuri"/>
    <s v="CB-29"/>
    <s v="rajdeep@lyric.tech"/>
    <x v="2"/>
    <s v="PF-423AL0"/>
    <m/>
  </r>
  <r>
    <n v="117"/>
    <s v="RatnajiVanga"/>
    <s v="CB-81"/>
    <s v="ratnaji@lyric.tech"/>
    <x v="2"/>
    <s v="FT60M0DJHC"/>
    <b v="1"/>
  </r>
  <r>
    <n v="118"/>
    <s v="RohitAgarwal"/>
    <s v="CB-172"/>
    <s v="rohit@lyric.tech"/>
    <x v="2"/>
    <s v="KH92YW1R3W"/>
    <b v="1"/>
  </r>
  <r>
    <n v="119"/>
    <s v="RounakDatta"/>
    <s v="CB-46"/>
    <s v="rounak@lyric.tech"/>
    <x v="2"/>
    <s v="C6061P4G59"/>
    <b v="1"/>
  </r>
  <r>
    <n v="120"/>
    <s v="SUJITHAVENKATESHWARAN"/>
    <s v="CB-164"/>
    <s v="sujitha@lyric.tech"/>
    <x v="2"/>
    <s v="KRRYWMHGWF"/>
    <b v="1"/>
  </r>
  <r>
    <n v="121"/>
    <s v="SachinMaheshwari"/>
    <s v="CB-77"/>
    <s v="sachin@lyric.tech"/>
    <x v="2"/>
    <s v="L300Q2554M"/>
    <b v="1"/>
  </r>
  <r>
    <n v="122"/>
    <s v="SaichandMondem"/>
    <s v="100"/>
    <s v="saichand@lyric.tech"/>
    <x v="2"/>
    <s v="K16LNXRW5C"/>
    <b v="1"/>
  </r>
  <r>
    <n v="123"/>
    <s v="SaketJajoo"/>
    <s v="CB-23"/>
    <s v="saket@lyric.tech"/>
    <x v="2"/>
    <s v="P6YT6Q93DG"/>
    <m/>
  </r>
  <r>
    <n v="124"/>
    <s v="SalmanKhan"/>
    <s v="CB-184"/>
    <s v="salman@lyric.tech"/>
    <x v="2"/>
    <s v="JR7W4W9Q01"/>
    <b v="1"/>
  </r>
  <r>
    <n v="125"/>
    <s v="SaloniAgrawal"/>
    <s v="INT-004"/>
    <s v="saloni@lyric.tech"/>
    <x v="2"/>
    <s v="GDCV7H073L"/>
    <b v="1"/>
  </r>
  <r>
    <n v="126"/>
    <s v="SaloniDhawan"/>
    <s v="167"/>
    <s v="salonidhawan@lyric.tech"/>
    <x v="2"/>
    <s v="GKXLTD3FY9"/>
    <b v="1"/>
  </r>
  <r>
    <n v="127"/>
    <s v="SarangJagdale"/>
    <s v="sarang@lyric.tech"/>
    <s v="sarang@lyric.tech"/>
    <x v="2"/>
    <s v="PF-3E191D"/>
    <m/>
  </r>
  <r>
    <n v="128"/>
    <s v="SatheeshPrabhakaranVenkatasamy"/>
    <s v="CB-6"/>
    <s v="satheesh@lyric.tech"/>
    <x v="2"/>
    <s v="DXGY1YHQ42"/>
    <m/>
  </r>
  <r>
    <n v="129"/>
    <s v="SathishkumarL"/>
    <s v="CB-85"/>
    <s v="sathishkumar@lyric.tech"/>
    <x v="2"/>
    <s v="JC79XQTCNQ"/>
    <b v="1"/>
  </r>
  <r>
    <n v="130"/>
    <s v="SathiyaMoorthyDD"/>
    <s v="CB-126"/>
    <s v="sathiya@lyric.tech"/>
    <x v="2"/>
    <s v="LQ4R415C66"/>
    <b v="1"/>
  </r>
  <r>
    <n v="131"/>
    <s v="SatishGandham"/>
    <s v="CB-97"/>
    <s v="satish.gandham@lyric.tech"/>
    <x v="2"/>
    <s v="F7LVJG2D7J"/>
    <b v="1"/>
  </r>
  <r>
    <n v="132"/>
    <s v="SatishGandham"/>
    <s v="CB-97"/>
    <s v="satish.gandham@lyric.tech"/>
    <x v="2"/>
    <s v="PF-5E6WFB"/>
    <m/>
  </r>
  <r>
    <n v="133"/>
    <s v="SauravSahay"/>
    <s v="CB-51"/>
    <s v="saurav@lyric.tech"/>
    <x v="2"/>
    <s v="KM1W4RTJWV"/>
    <m/>
  </r>
  <r>
    <n v="134"/>
    <s v="SharangSBurde"/>
    <s v="CB-9"/>
    <s v="sharang@lyric.tech"/>
    <x v="2"/>
    <s v="GV7KXN2L7G"/>
    <b v="1"/>
  </r>
  <r>
    <n v="135"/>
    <s v="ShubhamRao"/>
    <s v="CB-115"/>
    <s v="shubhamrao@lyric.tech"/>
    <x v="2"/>
    <s v="CH9GVYXKG0"/>
    <b v="1"/>
  </r>
  <r>
    <n v="136"/>
    <s v="SiddhantTiwary"/>
    <s v="CB-118"/>
    <s v="siddhant@lyric.tech"/>
    <x v="2"/>
    <s v="MDY14Y6W9Y"/>
    <b v="1"/>
  </r>
  <r>
    <n v="137"/>
    <s v="SidharthP"/>
    <s v="CB-178"/>
    <s v="sid@lyric.tech"/>
    <x v="2"/>
    <s v="KK6D6D7JCF"/>
    <b v="1"/>
  </r>
  <r>
    <n v="138"/>
    <s v="SivaprakashS"/>
    <s v="CB-156"/>
    <s v="sivaprakash@lyric.tech"/>
    <x v="2"/>
    <s v="FF2NQ99WKJ"/>
    <b v="1"/>
  </r>
  <r>
    <n v="139"/>
    <s v="SivaramanR"/>
    <s v="CB-175"/>
    <s v="siva@lyric.tech"/>
    <x v="2"/>
    <s v="M6Y4H4X706"/>
    <b v="1"/>
  </r>
  <r>
    <n v="140"/>
    <s v="SivasaiThota"/>
    <s v="CB-10"/>
    <s v="sivasai@lyric.tech"/>
    <x v="2"/>
    <s v="QM4DH63HDQ"/>
    <s v="True "/>
  </r>
  <r>
    <n v="141"/>
    <s v="SnigdhaGoley"/>
    <s v="CB-154"/>
    <s v="snigdha@lyric.tech"/>
    <x v="2"/>
    <s v="HP4H3CD46C"/>
    <b v="1"/>
  </r>
  <r>
    <n v="142"/>
    <s v="SohelMuntashirQureshi"/>
    <s v="sohel@lyric.tech"/>
    <s v="sohel@lyric.tech"/>
    <x v="2"/>
    <s v="PF414D9C"/>
    <b v="1"/>
  </r>
  <r>
    <n v="143"/>
    <s v="SreejaVijayadurai"/>
    <s v="CB-110"/>
    <s v="sreeja@lyric.tech"/>
    <x v="2"/>
    <s v="H63XNQ7PW5"/>
    <b v="1"/>
  </r>
  <r>
    <n v="145"/>
    <s v="SudendraPriyan"/>
    <s v="CB-17"/>
    <s v="sudendrapriyan@lyric.tech"/>
    <x v="2"/>
    <s v="KR641T6WC7"/>
    <m/>
  </r>
  <r>
    <n v="146"/>
    <s v="SudendraPriyan"/>
    <s v="CB-17"/>
    <s v="sudendrapriyan@lyric.tech"/>
    <x v="2"/>
    <s v="8CG4110GDJ"/>
    <b v="1"/>
  </r>
  <r>
    <n v="147"/>
    <s v="SusheelKumarReddyNerallapally"/>
    <s v="CB-141"/>
    <s v="susheel@lyric.tech"/>
    <x v="2"/>
    <s v="PF-5E75HQ"/>
    <m/>
  </r>
  <r>
    <n v="148"/>
    <s v="SushrutDilipMirzapure"/>
    <s v="C-148"/>
    <s v="sushrut@lyric.tech"/>
    <x v="2"/>
    <s v="LP4KK61X44"/>
    <b v="1"/>
  </r>
  <r>
    <n v="149"/>
    <s v="SyedAslahAhmadFaizi"/>
    <s v="CB-54"/>
    <s v="aslah@lyric.tech"/>
    <x v="2"/>
    <s v="HC404GHY34"/>
    <b v="1"/>
  </r>
  <r>
    <n v="150"/>
    <s v="T.Praveen"/>
    <s v="praveen@lyric.tech"/>
    <s v="praveen@lyric.tech"/>
    <x v="2"/>
    <s v="C3R29CJ3LT"/>
    <b v="1"/>
  </r>
  <r>
    <n v="151"/>
    <s v="TanyaPerpetuaDSouza"/>
    <s v="CB-151"/>
    <s v="tanya@lyric.tech"/>
    <x v="2"/>
    <s v="JHKC459MQL"/>
    <b v="1"/>
  </r>
  <r>
    <n v="152"/>
    <s v="TinuRohith"/>
    <s v="CB-173"/>
    <s v="tinurohith@lyric.tech"/>
    <x v="2"/>
    <s v="J94G63RGV4"/>
    <b v="1"/>
  </r>
  <r>
    <n v="153"/>
    <s v="TusharGohel"/>
    <s v="CB-101"/>
    <s v="tushar.gohel@lyric.tech"/>
    <x v="2"/>
    <s v="GQXFYWM3Y2"/>
    <b v="1"/>
  </r>
  <r>
    <n v="154"/>
    <s v="TusharShekhar"/>
    <s v="CB-67"/>
    <s v="tushar@lyric.tech"/>
    <x v="2"/>
    <s v="KGWQVQDFW0"/>
    <b v="1"/>
  </r>
  <r>
    <n v="155"/>
    <s v="UMAKANTAPATTANAYAK"/>
    <s v="CB-113"/>
    <s v="umakanta@lyric.tech"/>
    <x v="2"/>
    <s v="HQX7JFPKTP"/>
    <m/>
  </r>
  <r>
    <n v="156"/>
    <s v="VandanShaileshRogheliya"/>
    <s v="CB-166"/>
    <s v="vandan@lyric.tech"/>
    <x v="2"/>
    <s v="M3X4L29GFN"/>
    <b v="1"/>
  </r>
  <r>
    <n v="157"/>
    <s v="VedanshWani"/>
    <s v="CB-107"/>
    <s v="vedansh@lyric.tech"/>
    <x v="2"/>
    <s v="G27Q9214V9"/>
    <s v="True "/>
  </r>
  <r>
    <n v="158"/>
    <s v="Venkatakrishnapraveennunna"/>
    <s v="CB-123"/>
    <s v="krishna@lyric.tech"/>
    <x v="2"/>
    <s v="FK7QTMQWT2"/>
    <b v="1"/>
  </r>
  <r>
    <n v="159"/>
    <s v="VidyaPatil"/>
    <s v="CB-105"/>
    <s v="vidya@lyric.tech"/>
    <x v="2"/>
    <s v="FF9W23JC0D"/>
    <b v="1"/>
  </r>
  <r>
    <n v="160"/>
    <s v="VignesUS"/>
    <s v="CB-38"/>
    <s v="vignes@lyric.tech"/>
    <x v="2"/>
    <s v="HY7KP95G72"/>
    <m/>
  </r>
  <r>
    <n v="161"/>
    <s v="VigneshwarRavichandran"/>
    <s v="44"/>
    <s v="vigneshwar@lyric.tech"/>
    <x v="2"/>
    <s v="R7WQ9Q7532"/>
    <s v="True "/>
  </r>
  <r>
    <n v="162"/>
    <s v="VigneshwarThiyagarajan"/>
    <s v="cb-128"/>
    <s v="vigneshwar.t@lyric.tech"/>
    <x v="2"/>
    <s v="JN4F710W06"/>
    <b v="1"/>
  </r>
  <r>
    <n v="163"/>
    <s v="VismayLuhadiya"/>
    <s v="vismay@lyric.tech"/>
    <s v="vismay@lyric.tech"/>
    <x v="2"/>
    <s v="L9HK9MX243"/>
    <s v="True "/>
  </r>
  <r>
    <n v="164"/>
    <s v="mayanksharma"/>
    <s v="CB-165"/>
    <s v="mayanksharma@lyric.tech"/>
    <x v="2"/>
    <s v="HTV2237KF6"/>
    <b v="1"/>
  </r>
  <r>
    <n v="165"/>
    <s v="shubhamkumar"/>
    <s v="CB-63"/>
    <s v="shubham@lyric.tech"/>
    <x v="2"/>
    <s v="CG2H0KF9NR"/>
    <b v="1"/>
  </r>
  <r>
    <n v="167"/>
    <s v="AakashKaushik"/>
    <s v="CB-114"/>
    <s v="aakash@lyric.tech"/>
    <x v="3"/>
    <s v="407NTRL2W262"/>
    <b v="1"/>
  </r>
  <r>
    <n v="168"/>
    <s v="AbdulVahithZ"/>
    <s v="CB-22"/>
    <s v="abdul@lyric.tech"/>
    <x v="3"/>
    <s v="4UQMH4TT200747Y"/>
    <b v="1"/>
  </r>
  <r>
    <n v="169"/>
    <s v="AbdulVahithZ"/>
    <s v="CB-22"/>
    <s v="abdul@lyric.tech"/>
    <x v="3"/>
    <s v="0UKAHNAX00143V"/>
    <m/>
  </r>
  <r>
    <n v="170"/>
    <s v="AbhishekNahar"/>
    <s v="CB-133"/>
    <s v="abhishek@lyric.tech"/>
    <x v="3"/>
    <s v="CY37H4ZT600119R"/>
    <s v="True "/>
  </r>
  <r>
    <n v="171"/>
    <s v="AdityaJaroli"/>
    <s v="aditya.j@lyric.tech"/>
    <s v="aditya.j@lyric.tech"/>
    <x v="3"/>
    <s v="CY37H4ZT600114M"/>
    <b v="1"/>
  </r>
  <r>
    <n v="172"/>
    <s v="AdityaJaroli"/>
    <s v="aditya.j@lyric.tech"/>
    <s v="aditya.j@lyric.tech"/>
    <x v="3"/>
    <s v="CY37H4ZT600203X"/>
    <b v="1"/>
  </r>
  <r>
    <n v="173"/>
    <s v="AkashKumar"/>
    <s v="CB-56"/>
    <s v="akash@lyric.tech"/>
    <x v="3"/>
    <s v="CY37H4ZT600104V"/>
    <b v="1"/>
  </r>
  <r>
    <n v="174"/>
    <s v="AkhilNaravi"/>
    <s v="CB-18"/>
    <s v="akhil@lyric.tech"/>
    <x v="3"/>
    <s v="LS24A400UJWXXL"/>
    <m/>
  </r>
  <r>
    <n v="175"/>
    <s v="AkshayaUthamaputhiran"/>
    <s v="CB_168"/>
    <s v="akshaya@lyric.tech"/>
    <x v="3"/>
    <s v="0UKAHNAY800354"/>
    <b v="1"/>
  </r>
  <r>
    <n v="176"/>
    <s v="AmanAgarwal"/>
    <s v="CB-90"/>
    <s v="aman@lyric.tech"/>
    <x v="3"/>
    <s v="0JAHNAX400133"/>
    <m/>
  </r>
  <r>
    <n v="177"/>
    <s v="AmanAgarwal"/>
    <s v="CB-90"/>
    <s v="aman@lyric.tech"/>
    <x v="3"/>
    <s v="0JAHNAX400122"/>
    <m/>
  </r>
  <r>
    <n v="178"/>
    <s v="AmanVerma"/>
    <s v="CB-143"/>
    <s v="aman.verma@lyric.tech"/>
    <x v="3"/>
    <s v="0FJAHNAX400150B"/>
    <b v="1"/>
  </r>
  <r>
    <n v="179"/>
    <s v="AmishAshishSaxena"/>
    <s v="CB-157"/>
    <s v="amish@lyric.tech"/>
    <x v="3"/>
    <s v="0UKAHNAY800358V"/>
    <b v="1"/>
  </r>
  <r>
    <n v="180"/>
    <s v="AmishAshishSaxena"/>
    <s v="CB-157"/>
    <s v="amish@lyric.tech"/>
    <x v="3"/>
    <s v="0UKAHNAY800351M"/>
    <b v="1"/>
  </r>
  <r>
    <n v="181"/>
    <s v="AmitSingh"/>
    <s v="CB-82"/>
    <s v="amit@lyric.tech"/>
    <x v="3"/>
    <s v="LS24A600UCWXXL"/>
    <m/>
  </r>
  <r>
    <n v="182"/>
    <s v="AnjanaySaxena"/>
    <s v="CB-134"/>
    <s v="anjanay@lyric.tech"/>
    <x v="3"/>
    <s v="0UKAHNAXA00146J"/>
    <m/>
  </r>
  <r>
    <n v="183"/>
    <s v="AnjanaySaxena"/>
    <s v="CB-134"/>
    <s v="anjanay@lyric.tech"/>
    <x v="3"/>
    <s v="OUKAHNAXA00128P"/>
    <m/>
  </r>
  <r>
    <n v="184"/>
    <s v="AnkitGupta"/>
    <s v="CB-45"/>
    <s v="ankit@lyric.tech"/>
    <x v="3"/>
    <s v="CY37H4ZT600205Z"/>
    <b v="1"/>
  </r>
  <r>
    <n v="185"/>
    <s v="AnshulGupta"/>
    <s v="CB-177"/>
    <s v="anshul@lyric.tech"/>
    <x v="3"/>
    <s v="0UXJHNBY900865W"/>
    <b v="1"/>
  </r>
  <r>
    <n v="186"/>
    <s v="AnujShirgaonkar"/>
    <s v="CB-74"/>
    <s v="anuj@lyric.tech"/>
    <x v="3"/>
    <s v="0LBCHNMX700137L"/>
    <b v="1"/>
  </r>
  <r>
    <n v="187"/>
    <s v="AnujShirgaonkar"/>
    <s v="CB-74"/>
    <s v="anuj@lyric.tech"/>
    <x v="3"/>
    <s v="0LBCHNMX700143K"/>
    <b v="1"/>
  </r>
  <r>
    <n v="188"/>
    <s v="AnuragAgrawal"/>
    <s v="CB-138"/>
    <s v="anurag@lyric.tech"/>
    <x v="3"/>
    <s v="0UKAHNAXA00154T"/>
    <m/>
  </r>
  <r>
    <n v="189"/>
    <s v="AnuragAgrawal"/>
    <s v="CB-138"/>
    <s v="anurag@lyric.tech"/>
    <x v="3"/>
    <s v="0UKAHNAXA00133J"/>
    <m/>
  </r>
  <r>
    <n v="190"/>
    <s v="ApoorvGarg"/>
    <s v="CB-11"/>
    <s v="apoorv@lyric.tech"/>
    <x v="3"/>
    <s v="Samsung_x000a_(NeedSerialNo)"/>
    <m/>
  </r>
  <r>
    <n v="191"/>
    <s v="AritraMajumder"/>
    <s v="CB-137"/>
    <s v="aritra@lyric.tech"/>
    <x v="3"/>
    <s v="0F76HNBX400096T"/>
    <b v="1"/>
  </r>
  <r>
    <n v="192"/>
    <s v="ArnabKumarRoy"/>
    <s v="arnab@lyric.tech"/>
    <s v="arnab@lyric.tech"/>
    <x v="3"/>
    <s v="0FJAHNAX300018H"/>
    <b v="1"/>
  </r>
  <r>
    <n v="193"/>
    <s v="AshishSiyag"/>
    <s v="CB-55"/>
    <s v="ashish@lyric.tech"/>
    <x v="3"/>
    <s v="willupdate"/>
    <m/>
  </r>
  <r>
    <n v="194"/>
    <s v="AthiraT"/>
    <s v="CB-84"/>
    <s v="athira@lyric.tech"/>
    <x v="3"/>
    <s v="CN-01HH9M-WSL00-49C-AREL-A07"/>
    <m/>
  </r>
  <r>
    <n v="195"/>
    <s v="AyoneeSengupta"/>
    <s v="CB-147"/>
    <s v="ayonee@lyric.tech"/>
    <x v="3"/>
    <s v="0UKAHNAXA00131W"/>
    <b v="1"/>
  </r>
  <r>
    <n v="196"/>
    <s v="BalramRathore"/>
    <s v="CB-61"/>
    <s v="balram@lyric.tech"/>
    <x v="3"/>
    <s v="Nothavemonitorwithmecurrently"/>
    <m/>
  </r>
  <r>
    <n v="197"/>
    <s v="BharatUpadrasta"/>
    <s v="CB-131"/>
    <s v="bharat@lyric.tech"/>
    <x v="3"/>
    <s v="0UKAHNAXA00283"/>
    <m/>
  </r>
  <r>
    <n v="198"/>
    <s v="BharatUpadrasta"/>
    <s v="CB-131"/>
    <s v="bharat@lyric.tech"/>
    <x v="3"/>
    <s v="0UKAHNAXA00298"/>
    <m/>
  </r>
  <r>
    <n v="199"/>
    <s v="ChaitanyaKulkarni"/>
    <s v="CB-71"/>
    <s v="chaitanya@lyric.tech"/>
    <x v="3"/>
    <s v="0FJAHNAX400147W"/>
    <b v="1"/>
  </r>
  <r>
    <n v="200"/>
    <s v="ChaitanyaKulkarni"/>
    <s v="CB-71"/>
    <s v="chaitanya@lyric.tech"/>
    <x v="3"/>
    <s v="0FJAHNAX300024V"/>
    <b v="1"/>
  </r>
  <r>
    <n v="201"/>
    <s v="DasariJeevanSwaroop"/>
    <s v="CB-15"/>
    <s v="jeevan@lyric.tech"/>
    <x v="3"/>
    <s v="4UQMH4TT200756B"/>
    <s v="True "/>
  </r>
  <r>
    <n v="202"/>
    <s v="DhammapalAvhad"/>
    <s v="CB-167"/>
    <s v="dhammapal@lyric.tech"/>
    <x v="3"/>
    <s v="Notyetopened"/>
    <m/>
  </r>
  <r>
    <n v="203"/>
    <s v="DhammapalAvhad"/>
    <s v="CB-167"/>
    <s v="dhammapal@lyric.tech"/>
    <x v="3"/>
    <s v="onlyreceivedthepackage"/>
    <m/>
  </r>
  <r>
    <n v="204"/>
    <s v="Dhawal"/>
    <s v="CB-188"/>
    <s v="dhawal@lyric.tech"/>
    <x v="3"/>
    <s v="0UKAHNAY800325W"/>
    <b v="1"/>
  </r>
  <r>
    <n v="205"/>
    <s v="DivyanshDubey"/>
    <s v="C-161"/>
    <s v="divyansh@lyric.tech"/>
    <x v="3"/>
    <s v="0UKAHNAY800340"/>
    <b v="1"/>
  </r>
  <r>
    <n v="206"/>
    <s v="DivyanshDubey"/>
    <s v="C-161"/>
    <s v="divyansh@lyric.tech"/>
    <x v="3"/>
    <s v="0UKAHNAY800350"/>
    <b v="1"/>
  </r>
  <r>
    <n v="207"/>
    <s v="GayathriSivaprakasam"/>
    <s v="CB-79"/>
    <s v="gayathri@lyric.tech"/>
    <x v="3"/>
    <s v="0FJAHNAX300027L"/>
    <b v="1"/>
  </r>
  <r>
    <n v="208"/>
    <s v="GayathriSivaprakasam"/>
    <s v="CB-79"/>
    <s v="gayathri@lyric.tech"/>
    <x v="3"/>
    <s v="0FJAHNAX400138Z"/>
    <b v="1"/>
  </r>
  <r>
    <n v="209"/>
    <s v="Gokul"/>
    <s v="CB012"/>
    <s v="gokul@lyric.tech"/>
    <x v="3"/>
    <s v="0VXJHNBY701341R"/>
    <m/>
  </r>
  <r>
    <n v="210"/>
    <s v="HimanshuSaraswat"/>
    <s v="CB-53"/>
    <s v="himanshu@lyric.tech"/>
    <x v="3"/>
    <s v="CY37H4ZT600100X"/>
    <s v="True "/>
  </r>
  <r>
    <n v="211"/>
    <s v="JaeyanthJKV"/>
    <s v="CB-96"/>
    <s v="jaeyanth@lyric.tech"/>
    <x v="3"/>
    <s v="0FJAHNAX400155L"/>
    <b v="1"/>
  </r>
  <r>
    <n v="212"/>
    <s v="JaeyanthJKV"/>
    <s v="CB-96"/>
    <s v="jaeyanth@lyric.tech"/>
    <x v="3"/>
    <s v="0FJAHNAX300006D"/>
    <b v="1"/>
  </r>
  <r>
    <n v="213"/>
    <s v="JatinPanjwani"/>
    <s v="CB-149"/>
    <s v="jatin@lyric.tech"/>
    <x v="3"/>
    <s v="0UKAHNAXA00162A"/>
    <b v="1"/>
  </r>
  <r>
    <n v="214"/>
    <s v="JitendraKumarSingh"/>
    <s v="CB-88"/>
    <s v="jitendra@lyric.tech"/>
    <x v="3"/>
    <s v="2Samsungmonitors.(SerialNo.isnotavailableatpresentcametohometown.Willshareonceavailable)_x000a_(NeedSerialNo)"/>
    <m/>
  </r>
  <r>
    <n v="215"/>
    <s v="JyotiranjanSahoo"/>
    <s v="CB-116"/>
    <s v="jyotiranjan@lyric.tech"/>
    <x v="3"/>
    <s v="0UKAHNAXA00136F"/>
    <m/>
  </r>
  <r>
    <n v="216"/>
    <s v="KarthikMuthukrishnan"/>
    <s v="karthik@lyric.tech"/>
    <s v="karthik@lyric.tech"/>
    <x v="3"/>
    <s v="407NYTAT146"/>
    <m/>
  </r>
  <r>
    <n v="217"/>
    <s v="KarthikSharma"/>
    <s v="CB-181"/>
    <s v="karthik.sharma@lyric.tech"/>
    <x v="3"/>
    <s v="0UKAHNAY800352L"/>
    <m/>
  </r>
  <r>
    <n v="218"/>
    <s v="KishoreAdiraju"/>
    <s v="CB-182"/>
    <s v="kishore@lyric.tech"/>
    <x v="3"/>
    <s v="0UKAHNAY800339T"/>
    <b v="1"/>
  </r>
  <r>
    <n v="219"/>
    <s v="KislayKumar"/>
    <s v="kislay@lyric.tech"/>
    <s v="kislay@lyric.tech"/>
    <x v="3"/>
    <s v="0FJAHNAX400151"/>
    <b v="1"/>
  </r>
  <r>
    <n v="220"/>
    <s v="KislayKumar"/>
    <s v="kislay@lyric.tech"/>
    <s v="kislay@lyric.tech"/>
    <x v="3"/>
    <s v="0FJANHAX300023"/>
    <m/>
  </r>
  <r>
    <n v="221"/>
    <s v="KritiHSahoo"/>
    <s v="CB-187"/>
    <s v="kriti@lyric.tech"/>
    <x v="3"/>
    <s v="0UKAHNAY800327Z"/>
    <b v="1"/>
  </r>
  <r>
    <n v="222"/>
    <s v="LokeshSinghMahar"/>
    <s v="CB-47"/>
    <s v="lokesh@lyric.tech"/>
    <x v="3"/>
    <s v="CY37H4ZT600124H"/>
    <b v="1"/>
  </r>
  <r>
    <n v="223"/>
    <s v="Lokeshwaran"/>
    <s v="CB-174"/>
    <s v="lokeshwaran@lyric.tech"/>
    <x v="3"/>
    <s v="0UKAHNAY800341A"/>
    <b v="1"/>
  </r>
  <r>
    <n v="224"/>
    <s v="MallikarjunHanamantrayaBiradar"/>
    <s v="mallikarjuna@lyric.tech"/>
    <s v="mallikarjuna@lyric.tech"/>
    <x v="3"/>
    <s v="0UKAHNAY000336E"/>
    <m/>
  </r>
  <r>
    <n v="225"/>
    <s v="MayankKukreti"/>
    <s v="mayank@lyric.tech"/>
    <s v="mayank@lyric.tech"/>
    <x v="3"/>
    <s v="0UKAHNAXA00167T"/>
    <b v="1"/>
  </r>
  <r>
    <n v="226"/>
    <s v="MayurRupraojiMorey"/>
    <s v="CB-121"/>
    <s v="mayur@lyric.tech"/>
    <x v="3"/>
    <s v="0FJAHNAX300015R"/>
    <b v="1"/>
  </r>
  <r>
    <n v="227"/>
    <s v="MeenarliSharma"/>
    <s v="CB30"/>
    <s v="meenarli@lyric.tech"/>
    <x v="3"/>
    <s v="CY37H4ZT600220K"/>
    <s v="True "/>
  </r>
  <r>
    <n v="228"/>
    <s v="MohammadAwezKhan"/>
    <s v="CB-28"/>
    <s v="awez@lyric.tech"/>
    <x v="3"/>
    <s v="CY37H4ZT600090F"/>
    <b v="1"/>
  </r>
  <r>
    <n v="229"/>
    <s v="MohammadAwezKhan"/>
    <s v="CB-28"/>
    <s v="awez@lyric.tech"/>
    <x v="3"/>
    <s v="CY37H4ZT600099V"/>
    <b v="1"/>
  </r>
  <r>
    <n v="230"/>
    <s v="MustafaVora"/>
    <s v="CB-48"/>
    <s v="mustafa@lyric.tech"/>
    <x v="3"/>
    <s v="CV37H4ZT600113X"/>
    <m/>
  </r>
  <r>
    <n v="231"/>
    <s v="MustajabIkram"/>
    <s v="CB-180"/>
    <s v="mustajab@lyric.tech"/>
    <x v="3"/>
    <s v="0UKAHNAY80033"/>
    <m/>
  </r>
  <r>
    <n v="232"/>
    <s v="NITHINMTHOMAS"/>
    <s v="CB-124"/>
    <s v="nithin@lyric.tech"/>
    <x v="3"/>
    <s v="0UKAHNAXA00291"/>
    <m/>
  </r>
  <r>
    <n v="233"/>
    <s v="NITHINMTHOMAS"/>
    <s v="CB-124"/>
    <s v="nithin@lyric.tech"/>
    <x v="3"/>
    <s v="OUKAHNAXA00330"/>
    <m/>
  </r>
  <r>
    <n v="234"/>
    <s v="NandanSatapathy"/>
    <s v="CB-89"/>
    <s v="nandan@lyric.tech"/>
    <x v="3"/>
    <s v="0FJAHNAX400128V"/>
    <b v="1"/>
  </r>
  <r>
    <n v="235"/>
    <s v="NeelamGarasia`"/>
    <s v="CB-183"/>
    <s v="neelam@lyric.tech"/>
    <x v="3"/>
    <s v="OUKAHNAY800344"/>
    <m/>
  </r>
  <r>
    <n v="236"/>
    <s v="NelsonManvelDias"/>
    <s v="CB-109"/>
    <s v="nelson@lyric.tech"/>
    <x v="3"/>
    <s v="0FJAHNAX400140M"/>
    <b v="1"/>
  </r>
  <r>
    <n v="237"/>
    <s v="NivedhanMurugavel"/>
    <s v="CB-16"/>
    <s v="nivedhan@lyric.tech"/>
    <x v="3"/>
    <s v="506NTPCDU240"/>
    <b v="1"/>
  </r>
  <r>
    <n v="238"/>
    <s v="ParameswaranN"/>
    <s v="CB-34"/>
    <s v="parameswaran@lyric.tech"/>
    <x v="3"/>
    <s v="ET86R04093019"/>
    <b v="1"/>
  </r>
  <r>
    <n v="239"/>
    <s v="ParameswaranN"/>
    <s v="CB-34"/>
    <s v="parameswaran@lyric.tech"/>
    <x v="3"/>
    <s v="ETS4R03277019"/>
    <b v="1"/>
  </r>
  <r>
    <n v="240"/>
    <s v="PiyushSoni"/>
    <s v="CB-190"/>
    <s v="piyush@lyric.tech"/>
    <x v="3"/>
    <s v="LS24D604UAWXXL"/>
    <m/>
  </r>
  <r>
    <n v="241"/>
    <s v="PradeepBorade"/>
    <s v="pradeep.borade@lyric.tech"/>
    <s v="pradeep.borade@lyric.tech"/>
    <x v="3"/>
    <s v="0UKAHNAY800324H"/>
    <b v="1"/>
  </r>
  <r>
    <n v="242"/>
    <s v="PradeepVijayakumar"/>
    <s v="CB-20"/>
    <s v="pradeep@lyric.tech"/>
    <x v="3"/>
    <s v="4UQMH4TT200777K"/>
    <s v="True "/>
  </r>
  <r>
    <n v="243"/>
    <s v="PradeepVijayakumar"/>
    <s v="CB-20"/>
    <s v="pradeep@lyric.tech"/>
    <x v="3"/>
    <s v="4UQMH4TT200763P"/>
    <s v="True "/>
  </r>
  <r>
    <n v="244"/>
    <s v="PradhumnaRathore"/>
    <s v="CB-57"/>
    <s v="pradhumna@lyric.tech"/>
    <x v="3"/>
    <s v="CY37H4ZT600201H"/>
    <b v="1"/>
  </r>
  <r>
    <n v="245"/>
    <s v="PradyotMohanty"/>
    <s v="CB-52"/>
    <s v="pradyot@lyric.tech"/>
    <x v="3"/>
    <s v="0FJAHNAX400136T"/>
    <b v="1"/>
  </r>
  <r>
    <n v="246"/>
    <s v="PrasunAnand"/>
    <s v="CB-139"/>
    <s v="prasun@lyric.tech"/>
    <x v="3"/>
    <s v="408NTLEDU376"/>
    <b v="1"/>
  </r>
  <r>
    <n v="247"/>
    <s v="PrernaAgarwal"/>
    <s v="CB-108"/>
    <s v="prerna@lyric.tech"/>
    <x v="3"/>
    <s v="0FJAHNAX400096P"/>
    <b v="1"/>
  </r>
  <r>
    <n v="248"/>
    <s v="PrernaAgarwal"/>
    <s v="CB-108"/>
    <s v="prerna@lyric.tech"/>
    <x v="3"/>
    <s v="0FJAHNAX400145H"/>
    <b v="1"/>
  </r>
  <r>
    <n v="249"/>
    <s v="PriyangManiTripathi"/>
    <s v="CB-191"/>
    <s v="priyang@lyric.tech"/>
    <x v="3"/>
    <s v="0UKAHNAY800321"/>
    <b v="1"/>
  </r>
  <r>
    <n v="250"/>
    <s v="PriyeshKumar"/>
    <s v="CB-93"/>
    <s v="priyesh@lyric.tech"/>
    <x v="3"/>
    <s v="0FJAHNAX400127P"/>
    <b v="1"/>
  </r>
  <r>
    <n v="251"/>
    <s v="PushkarKishorOke"/>
    <s v="CB-35"/>
    <s v="pushkar@lyric.tech"/>
    <x v="3"/>
    <s v="CY37H4ZT600067N"/>
    <b v="1"/>
  </r>
  <r>
    <n v="252"/>
    <s v="RVVineethKumar"/>
    <s v="CB-78"/>
    <s v="vineeth@lyric.tech"/>
    <x v="3"/>
    <s v="0FJAHNAX300020Z"/>
    <b v="1"/>
  </r>
  <r>
    <n v="253"/>
    <s v="RVVineethKumar"/>
    <s v="CB-78"/>
    <s v="vineeth@lyric.tech"/>
    <x v="3"/>
    <s v="0FJAHNAX300014L"/>
    <b v="1"/>
  </r>
  <r>
    <n v="254"/>
    <s v="RajBasotia"/>
    <s v="CB-189"/>
    <s v="raj.basotia@lyric.tech"/>
    <x v="3"/>
    <s v="0UKAHNAY800333B"/>
    <b v="1"/>
  </r>
  <r>
    <n v="255"/>
    <s v="RatnajiVanga"/>
    <s v="CB-81"/>
    <s v="ratnaji@lyric.tech"/>
    <x v="3"/>
    <s v="0FJAHNAX400124F"/>
    <b v="1"/>
  </r>
  <r>
    <n v="256"/>
    <s v="RatnajiVanga"/>
    <s v="CB-81"/>
    <s v="ratnaji@lyric.tech"/>
    <x v="3"/>
    <s v="0FJAHNAX400116N"/>
    <b v="1"/>
  </r>
  <r>
    <n v="257"/>
    <s v="RohitAgarwal"/>
    <s v="CB-172"/>
    <s v="rohit@lyric.tech"/>
    <x v="3"/>
    <s v="0UKAHNAY800258D"/>
    <b v="1"/>
  </r>
  <r>
    <n v="258"/>
    <s v="SUJITHAVENKATESHWARAN"/>
    <s v="CB-164"/>
    <s v="sujitha@lyric.tech"/>
    <x v="3"/>
    <s v="0UKAHNAY800346B"/>
    <b v="1"/>
  </r>
  <r>
    <n v="259"/>
    <s v="SUJITHAVENKATESHWARAN"/>
    <s v="CB-164"/>
    <s v="sujitha@lyric.tech"/>
    <x v="3"/>
    <s v="0UKAHNAY800342X"/>
    <b v="1"/>
  </r>
  <r>
    <n v="260"/>
    <s v="SaketJajoo"/>
    <s v="CB-23"/>
    <s v="saket@lyric.tech"/>
    <x v="3"/>
    <s v="4UQMH4TT200746X"/>
    <b v="1"/>
  </r>
  <r>
    <n v="261"/>
    <s v="SalmanKhan"/>
    <s v="CB-184"/>
    <s v="salman@lyric.tech"/>
    <x v="3"/>
    <s v="Willshareitafter7thDecasicametomyhometown_x000a_(NeedSerialNo)"/>
    <m/>
  </r>
  <r>
    <n v="262"/>
    <s v="SalmanKhan"/>
    <s v="CB-184"/>
    <s v="salman@lyric.tech"/>
    <x v="3"/>
    <s v="haveinformedtoSaranya_x000a_(NeedSerialNo)"/>
    <m/>
  </r>
  <r>
    <n v="263"/>
    <s v="SatheeshPrabhakaranVenkatasamy"/>
    <s v="CB-6"/>
    <s v="satheesh@lyric.tech"/>
    <x v="3"/>
    <s v="CY37H4ZRC00159L"/>
    <b v="1"/>
  </r>
  <r>
    <n v="264"/>
    <s v="SathishkumarL"/>
    <s v="CB-85"/>
    <s v="sathishkumar@lyric.tech"/>
    <x v="3"/>
    <s v="LS24A600U"/>
    <m/>
  </r>
  <r>
    <n v="265"/>
    <s v="SathiyaMoorthyDD"/>
    <s v="CB-126"/>
    <s v="sathiya@lyric.tech"/>
    <x v="3"/>
    <s v="Notusingnow"/>
    <m/>
  </r>
  <r>
    <n v="266"/>
    <s v="SatishGandham"/>
    <s v="CB-97"/>
    <s v="satish.gandham@lyric.tech"/>
    <x v="3"/>
    <s v="OUXLHNAX800078F"/>
    <m/>
  </r>
  <r>
    <n v="267"/>
    <s v="SatishGandham"/>
    <s v="CB-97"/>
    <s v="satish.gandham@lyric.tech"/>
    <x v="3"/>
    <s v="OUXLHNAX800119K"/>
    <m/>
  </r>
  <r>
    <n v="268"/>
    <s v="SauravSahay"/>
    <s v="CB-51"/>
    <s v="saurav@lyric.tech"/>
    <x v="3"/>
    <s v="0UKAHNAXC00044A"/>
    <m/>
  </r>
  <r>
    <n v="269"/>
    <s v="ShubhamRao"/>
    <s v="CB-115"/>
    <s v="shubhamrao@lyric.tech"/>
    <x v="3"/>
    <s v="0FJAHNAX400160P"/>
    <b v="1"/>
  </r>
  <r>
    <n v="270"/>
    <s v="ShubhamRao"/>
    <s v="CB-115"/>
    <s v="shubhamrao@lyric.tech"/>
    <x v="3"/>
    <s v="0FJAHNAX400153M"/>
    <b v="1"/>
  </r>
  <r>
    <n v="271"/>
    <s v="SiddhantTiwary"/>
    <s v="CB-118"/>
    <s v="siddhant@lyric.tech"/>
    <x v="3"/>
    <s v="LS24A600U"/>
    <m/>
  </r>
  <r>
    <n v="272"/>
    <s v="SiddhantTiwary"/>
    <s v="CB-118"/>
    <s v="siddhant@lyric.tech"/>
    <x v="3"/>
    <s v="LS24A600U"/>
    <m/>
  </r>
  <r>
    <n v="273"/>
    <s v="SivaramanR"/>
    <s v="CB-175"/>
    <s v="siva@lyric.tech"/>
    <x v="3"/>
    <s v="0UKAHNAY800355X"/>
    <b v="1"/>
  </r>
  <r>
    <n v="274"/>
    <s v="SrivatsanKadambiSeshadri"/>
    <s v="CB-95"/>
    <s v="srivatsan@lyric.tech"/>
    <x v="3"/>
    <s v="0FJAHNAX400163B"/>
    <b v="1"/>
  </r>
  <r>
    <n v="275"/>
    <s v="SrivatsanKadambiSeshadri"/>
    <s v="CB-95"/>
    <s v="srivatsan@lyric.tech"/>
    <x v="3"/>
    <s v="0F36WP824343GT"/>
    <b v="1"/>
  </r>
  <r>
    <n v="276"/>
    <s v="SudendraPriyan"/>
    <s v="CB-17"/>
    <s v="sudendrapriyan@lyric.tech"/>
    <x v="3"/>
    <s v="CY37H4ZT600188E"/>
    <b v="1"/>
  </r>
  <r>
    <n v="277"/>
    <s v="SudendraPriyan"/>
    <s v="CB-17"/>
    <s v="sudendrapriyan@lyric.tech"/>
    <x v="3"/>
    <s v="CY37H4ZT600066K"/>
    <b v="1"/>
  </r>
  <r>
    <n v="278"/>
    <s v="SushrutDilipMirzapure"/>
    <s v="C-148"/>
    <s v="sushrut@lyric.tech"/>
    <x v="3"/>
    <s v="0UKAHNAXA00142L"/>
    <b v="1"/>
  </r>
  <r>
    <n v="279"/>
    <s v="SyedAslahAhmadFaizi"/>
    <s v="CB-54"/>
    <s v="aslah@lyric.tech"/>
    <x v="3"/>
    <s v="CY37H4ZT600134F"/>
    <b v="1"/>
  </r>
  <r>
    <n v="280"/>
    <s v="T.Praveen"/>
    <s v="praveen@lyric.tech"/>
    <s v="praveen@lyric.tech"/>
    <x v="3"/>
    <s v="0UKAHNAXA00151Z"/>
    <m/>
  </r>
  <r>
    <n v="281"/>
    <s v="TanyaPerpetuaDSouza"/>
    <s v="CB-151"/>
    <s v="tanya@lyric.tech"/>
    <x v="3"/>
    <s v="0UKAHNAXA00149F"/>
    <b v="1"/>
  </r>
  <r>
    <n v="282"/>
    <s v="TusharGohel"/>
    <s v="CB-101"/>
    <s v="tushar.gohel@lyric.tech"/>
    <x v="3"/>
    <m/>
    <m/>
  </r>
  <r>
    <n v="283"/>
    <s v="VandanShaileshRogheliya"/>
    <s v="CB-166"/>
    <s v="vandan@lyric.tech"/>
    <x v="3"/>
    <s v="0UKAHNAY800349E"/>
    <b v="1"/>
  </r>
  <r>
    <n v="284"/>
    <s v="VedanshWani"/>
    <s v="CB-107"/>
    <s v="vedansh@lyric.tech"/>
    <x v="3"/>
    <s v="0FJAHNAX300013A"/>
    <b v="1"/>
  </r>
  <r>
    <n v="285"/>
    <s v="VedanshWani"/>
    <s v="CB-107"/>
    <s v="vedansh@lyric.tech"/>
    <x v="3"/>
    <s v="0FJAHNAX300016P"/>
    <b v="1"/>
  </r>
  <r>
    <n v="286"/>
    <s v="Venkatakrishnapraveennunna"/>
    <s v="CB-123"/>
    <s v="krishna@lyric.tech"/>
    <x v="3"/>
    <s v="0UKAHNAXA00286"/>
    <m/>
  </r>
  <r>
    <n v="287"/>
    <s v="Venkatakrishnapraveennunna"/>
    <s v="CB-123"/>
    <s v="krishna@lyric.tech"/>
    <x v="3"/>
    <s v="0UKAHNAXA00555"/>
    <m/>
  </r>
  <r>
    <n v="288"/>
    <s v="VidyaPatil"/>
    <s v="CB-105"/>
    <s v="vidya@lyric.tech"/>
    <x v="3"/>
    <s v="0FJAHNAX400121W"/>
    <b v="1"/>
  </r>
  <r>
    <n v="289"/>
    <s v="VidyaPatil"/>
    <s v="CB-105"/>
    <s v="vidya@lyric.tech"/>
    <x v="3"/>
    <s v="0FJAHNAX300028R"/>
    <b v="1"/>
  </r>
  <r>
    <n v="290"/>
    <s v="VignesUS"/>
    <s v="CB-38"/>
    <s v="vignes@lyric.tech"/>
    <x v="3"/>
    <s v="4UQMH4TT200753H"/>
    <b v="1"/>
  </r>
  <r>
    <n v="291"/>
    <s v="VigneshwarRavichandran"/>
    <s v="44"/>
    <s v="vigneshwar@lyric.tech"/>
    <x v="3"/>
    <s v="0UKAΗΝΑΧΑ00111E"/>
    <m/>
  </r>
  <r>
    <n v="292"/>
    <s v="VigneshwarRavichandran"/>
    <s v="44"/>
    <s v="vigneshwar@lyric.tech"/>
    <x v="3"/>
    <s v="CY37H4ZT600070M"/>
    <b v="1"/>
  </r>
  <r>
    <n v="293"/>
    <s v="VigneshwarThiyagarajan"/>
    <s v="cb-128"/>
    <s v="vigneshwar.t@lyric.tech"/>
    <x v="3"/>
    <s v="0F76HNBX400019R"/>
    <b v="1"/>
  </r>
  <r>
    <n v="294"/>
    <s v="VismayLuhadiya"/>
    <s v="vismay@lyric.tech"/>
    <s v="vismay@lyric.tech"/>
    <x v="3"/>
    <s v="CY374ZT600074A"/>
    <m/>
  </r>
  <r>
    <n v="295"/>
    <s v="mayanksharma"/>
    <s v="CB-165"/>
    <s v="mayanksharma@lyric.tech"/>
    <x v="3"/>
    <s v="0UKAHNAY800353K"/>
    <b v="1"/>
  </r>
  <r>
    <n v="296"/>
    <s v="shubhamkumar"/>
    <s v="CB-63"/>
    <s v="shubham@lyric.tech"/>
    <x v="3"/>
    <s v="0FJAHNAX390026A"/>
    <m/>
  </r>
  <r>
    <n v="297"/>
    <s v="shubhamkumar"/>
    <s v="CB-63"/>
    <s v="shubham@lyric.tech"/>
    <x v="3"/>
    <s v="0FJAHNAX390947W"/>
    <m/>
  </r>
  <r>
    <n v="298"/>
    <s v="KarthikSharma"/>
    <s v="CB-181"/>
    <s v="karthik.sharma@lyric.tech"/>
    <x v="4"/>
    <s v="CC2HH6006CA0000555"/>
    <m/>
  </r>
  <r>
    <n v="299"/>
    <s v="LokeshSinghMahar"/>
    <s v="CB-47"/>
    <s v="lokesh@lyric.tech"/>
    <x v="4"/>
    <s v="CC2409508AM17YMBT"/>
    <m/>
  </r>
  <r>
    <n v="300"/>
    <s v="MadhukarMMallia"/>
    <s v="CB-49"/>
    <s v="madhukar@lyric.tech"/>
    <x v="4"/>
    <s v="CC2401307BU177YMAD"/>
    <m/>
  </r>
  <r>
    <n v="301"/>
    <s v="MustafaVora"/>
    <s v="CB-48"/>
    <s v="mustafa@lyric.tech"/>
    <x v="4"/>
    <s v="2401LXEFWG8"/>
    <m/>
  </r>
  <r>
    <n v="302"/>
    <m/>
    <m/>
    <m/>
    <x v="5"/>
    <m/>
    <m/>
  </r>
  <r>
    <n v="303"/>
    <m/>
    <m/>
    <m/>
    <x v="5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1906B3-FDE2-4EF9-A93F-3FD8C90CFD86}" name="PivotTable2" cacheId="3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7" firstHeaderRow="1" firstDataRow="1" firstDataCol="1"/>
  <pivotFields count="15"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70">
        <item x="3"/>
        <item x="257"/>
        <item x="223"/>
        <item x="268"/>
        <item x="344"/>
        <item x="273"/>
        <item x="272"/>
        <item x="287"/>
        <item x="281"/>
        <item x="278"/>
        <item x="290"/>
        <item x="289"/>
        <item x="286"/>
        <item x="284"/>
        <item x="279"/>
        <item x="283"/>
        <item x="280"/>
        <item x="205"/>
        <item x="215"/>
        <item x="163"/>
        <item x="158"/>
        <item x="248"/>
        <item x="170"/>
        <item x="165"/>
        <item x="247"/>
        <item x="222"/>
        <item x="227"/>
        <item x="171"/>
        <item x="234"/>
        <item x="150"/>
        <item x="146"/>
        <item x="175"/>
        <item x="238"/>
        <item x="244"/>
        <item x="255"/>
        <item x="191"/>
        <item x="251"/>
        <item x="147"/>
        <item x="256"/>
        <item x="242"/>
        <item x="178"/>
        <item x="237"/>
        <item x="211"/>
        <item x="193"/>
        <item x="177"/>
        <item x="184"/>
        <item x="188"/>
        <item x="208"/>
        <item x="200"/>
        <item x="194"/>
        <item x="190"/>
        <item x="210"/>
        <item x="180"/>
        <item x="229"/>
        <item x="203"/>
        <item x="174"/>
        <item x="253"/>
        <item x="245"/>
        <item x="241"/>
        <item x="250"/>
        <item x="149"/>
        <item x="166"/>
        <item x="235"/>
        <item x="261"/>
        <item x="216"/>
        <item x="206"/>
        <item x="162"/>
        <item x="201"/>
        <item x="161"/>
        <item x="262"/>
        <item x="212"/>
        <item x="218"/>
        <item x="219"/>
        <item x="168"/>
        <item x="167"/>
        <item x="315"/>
        <item x="322"/>
        <item x="334"/>
        <item x="343"/>
        <item x="349"/>
        <item x="342"/>
        <item x="339"/>
        <item x="327"/>
        <item x="346"/>
        <item x="409"/>
        <item x="382"/>
        <item x="380"/>
        <item x="381"/>
        <item x="383"/>
        <item x="434"/>
        <item x="431"/>
        <item x="429"/>
        <item x="425"/>
        <item x="411"/>
        <item x="412"/>
        <item x="410"/>
        <item x="423"/>
        <item x="414"/>
        <item x="436"/>
        <item x="416"/>
        <item x="420"/>
        <item x="427"/>
        <item x="360"/>
        <item x="368"/>
        <item x="403"/>
        <item x="371"/>
        <item x="367"/>
        <item x="374"/>
        <item x="370"/>
        <item x="401"/>
        <item x="379"/>
        <item x="375"/>
        <item x="369"/>
        <item x="372"/>
        <item x="363"/>
        <item x="376"/>
        <item x="377"/>
        <item x="387"/>
        <item x="378"/>
        <item x="362"/>
        <item x="440"/>
        <item x="439"/>
        <item x="398"/>
        <item x="392"/>
        <item x="396"/>
        <item x="394"/>
        <item x="432"/>
        <item x="399"/>
        <item x="421"/>
        <item x="182"/>
        <item x="269"/>
        <item x="337"/>
        <item x="312"/>
        <item x="27"/>
        <item x="42"/>
        <item x="467"/>
        <item x="468"/>
        <item x="33"/>
        <item x="28"/>
        <item x="38"/>
        <item x="37"/>
        <item x="26"/>
        <item x="46"/>
        <item x="34"/>
        <item x="35"/>
        <item x="47"/>
        <item x="225"/>
        <item x="320"/>
        <item x="324"/>
        <item x="323"/>
        <item x="232"/>
        <item x="230"/>
        <item x="231"/>
        <item x="198"/>
        <item x="185"/>
        <item x="195"/>
        <item x="418"/>
        <item x="417"/>
        <item x="137"/>
        <item x="444"/>
        <item x="443"/>
        <item x="442"/>
        <item x="2"/>
        <item x="6"/>
        <item x="7"/>
        <item x="5"/>
        <item x="126"/>
        <item x="302"/>
        <item x="138"/>
        <item x="199"/>
        <item x="97"/>
        <item x="321"/>
        <item x="134"/>
        <item x="101"/>
        <item x="260"/>
        <item x="4"/>
        <item x="155"/>
        <item x="213"/>
        <item x="465"/>
        <item x="400"/>
        <item x="243"/>
        <item x="70"/>
        <item x="69"/>
        <item x="23"/>
        <item x="24"/>
        <item x="18"/>
        <item x="22"/>
        <item x="20"/>
        <item x="21"/>
        <item x="17"/>
        <item x="19"/>
        <item x="108"/>
        <item x="82"/>
        <item x="144"/>
        <item x="98"/>
        <item x="67"/>
        <item x="89"/>
        <item x="54"/>
        <item x="79"/>
        <item x="53"/>
        <item x="51"/>
        <item x="59"/>
        <item x="52"/>
        <item x="102"/>
        <item x="131"/>
        <item x="83"/>
        <item x="115"/>
        <item x="110"/>
        <item x="159"/>
        <item x="96"/>
        <item x="140"/>
        <item x="61"/>
        <item x="105"/>
        <item x="142"/>
        <item x="136"/>
        <item x="112"/>
        <item x="91"/>
        <item x="85"/>
        <item x="80"/>
        <item x="29"/>
        <item x="156"/>
        <item x="60"/>
        <item x="87"/>
        <item x="117"/>
        <item x="125"/>
        <item x="139"/>
        <item x="122"/>
        <item x="94"/>
        <item x="120"/>
        <item x="63"/>
        <item x="154"/>
        <item x="153"/>
        <item x="57"/>
        <item x="119"/>
        <item x="209"/>
        <item x="384"/>
        <item x="361"/>
        <item x="292"/>
        <item x="264"/>
        <item x="41"/>
        <item x="445"/>
        <item x="107"/>
        <item x="395"/>
        <item x="300"/>
        <item x="316"/>
        <item x="123"/>
        <item x="270"/>
        <item x="285"/>
        <item x="462"/>
        <item x="179"/>
        <item x="455"/>
        <item x="448"/>
        <item x="282"/>
        <item x="151"/>
        <item x="437"/>
        <item x="214"/>
        <item x="249"/>
        <item x="407"/>
        <item x="453"/>
        <item x="303"/>
        <item x="419"/>
        <item x="402"/>
        <item x="422"/>
        <item x="415"/>
        <item x="406"/>
        <item x="317"/>
        <item x="128"/>
        <item x="129"/>
        <item x="116"/>
        <item x="207"/>
        <item x="449"/>
        <item x="393"/>
        <item x="304"/>
        <item x="298"/>
        <item x="217"/>
        <item x="426"/>
        <item x="331"/>
        <item x="236"/>
        <item x="311"/>
        <item x="276"/>
        <item x="32"/>
        <item x="336"/>
        <item x="228"/>
        <item x="176"/>
        <item x="113"/>
        <item x="332"/>
        <item x="246"/>
        <item x="103"/>
        <item x="275"/>
        <item x="160"/>
        <item x="106"/>
        <item x="224"/>
        <item x="127"/>
        <item x="301"/>
        <item x="328"/>
        <item x="345"/>
        <item x="307"/>
        <item x="145"/>
        <item x="65"/>
        <item x="386"/>
        <item x="10"/>
        <item x="233"/>
        <item x="333"/>
        <item x="461"/>
        <item x="221"/>
        <item x="114"/>
        <item x="341"/>
        <item x="148"/>
        <item x="319"/>
        <item x="192"/>
        <item x="447"/>
        <item x="454"/>
        <item x="254"/>
        <item x="258"/>
        <item x="433"/>
        <item x="173"/>
        <item x="340"/>
        <item x="385"/>
        <item x="121"/>
        <item x="111"/>
        <item x="450"/>
        <item x="100"/>
        <item x="391"/>
        <item x="424"/>
        <item x="291"/>
        <item x="366"/>
        <item x="25"/>
        <item x="330"/>
        <item x="259"/>
        <item x="390"/>
        <item x="266"/>
        <item x="84"/>
        <item x="172"/>
        <item x="457"/>
        <item x="86"/>
        <item x="353"/>
        <item x="359"/>
        <item x="43"/>
        <item x="183"/>
        <item x="306"/>
        <item x="458"/>
        <item x="314"/>
        <item x="338"/>
        <item x="408"/>
        <item x="413"/>
        <item x="267"/>
        <item x="404"/>
        <item x="308"/>
        <item x="318"/>
        <item x="309"/>
        <item x="50"/>
        <item x="252"/>
        <item x="239"/>
        <item x="133"/>
        <item x="452"/>
        <item x="364"/>
        <item x="271"/>
        <item x="430"/>
        <item x="351"/>
        <item x="141"/>
        <item x="405"/>
        <item x="181"/>
        <item x="397"/>
        <item x="365"/>
        <item x="99"/>
        <item x="347"/>
        <item x="14"/>
        <item x="389"/>
        <item x="124"/>
        <item x="164"/>
        <item x="435"/>
        <item x="81"/>
        <item x="451"/>
        <item x="326"/>
        <item x="78"/>
        <item x="263"/>
        <item x="13"/>
        <item x="348"/>
        <item x="189"/>
        <item x="49"/>
        <item x="240"/>
        <item x="104"/>
        <item x="299"/>
        <item x="143"/>
        <item x="305"/>
        <item x="373"/>
        <item x="329"/>
        <item x="388"/>
        <item x="204"/>
        <item x="352"/>
        <item x="202"/>
        <item x="265"/>
        <item x="277"/>
        <item x="428"/>
        <item x="118"/>
        <item x="152"/>
        <item x="310"/>
        <item x="288"/>
        <item x="109"/>
        <item x="157"/>
        <item x="325"/>
        <item x="355"/>
        <item x="30"/>
        <item x="92"/>
        <item x="441"/>
        <item x="438"/>
        <item x="40"/>
        <item x="466"/>
        <item x="186"/>
        <item x="226"/>
        <item x="187"/>
        <item x="197"/>
        <item x="196"/>
        <item x="220"/>
        <item x="274"/>
        <item x="130"/>
        <item x="71"/>
        <item x="74"/>
        <item x="75"/>
        <item x="62"/>
        <item x="55"/>
        <item x="72"/>
        <item x="66"/>
        <item x="77"/>
        <item x="73"/>
        <item x="132"/>
        <item x="135"/>
        <item x="45"/>
        <item x="169"/>
        <item x="48"/>
        <item x="464"/>
        <item x="95"/>
        <item x="44"/>
        <item x="354"/>
        <item x="293"/>
        <item x="294"/>
        <item x="335"/>
        <item x="296"/>
        <item x="295"/>
        <item x="297"/>
        <item x="93"/>
        <item x="90"/>
        <item x="15"/>
        <item x="56"/>
        <item x="16"/>
        <item x="11"/>
        <item x="88"/>
        <item x="12"/>
        <item x="358"/>
        <item x="68"/>
        <item x="456"/>
        <item x="459"/>
        <item x="446"/>
        <item x="350"/>
        <item x="460"/>
        <item x="356"/>
        <item x="313"/>
        <item x="357"/>
        <item x="0"/>
        <item x="76"/>
        <item x="8"/>
        <item x="36"/>
        <item x="9"/>
        <item x="463"/>
        <item x="31"/>
        <item x="64"/>
        <item x="1"/>
        <item x="58"/>
        <item x="39"/>
        <item t="default"/>
      </items>
    </pivotField>
    <pivotField dataField="1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erial we not  found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B18A9D-5486-40C0-B6D1-83917214F500}" name="PivotTable7" cacheId="3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1:B13" firstHeaderRow="1" firstDataRow="1" firstDataCol="1"/>
  <pivotFields count="15">
    <pivotField compact="0" outline="0" showAll="0"/>
    <pivotField compact="0" outline="0" showAll="0"/>
    <pivotField axis="axisRow" compact="0" outline="0" showAll="0">
      <items count="4">
        <item h="1" x="1"/>
        <item x="0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70">
        <item x="3"/>
        <item x="257"/>
        <item x="223"/>
        <item x="268"/>
        <item x="344"/>
        <item x="273"/>
        <item x="272"/>
        <item x="287"/>
        <item x="281"/>
        <item x="278"/>
        <item x="290"/>
        <item x="289"/>
        <item x="286"/>
        <item x="284"/>
        <item x="279"/>
        <item x="283"/>
        <item x="280"/>
        <item x="205"/>
        <item x="215"/>
        <item x="163"/>
        <item x="158"/>
        <item x="248"/>
        <item x="170"/>
        <item x="165"/>
        <item x="247"/>
        <item x="222"/>
        <item x="227"/>
        <item x="171"/>
        <item x="234"/>
        <item x="150"/>
        <item x="146"/>
        <item x="175"/>
        <item x="238"/>
        <item x="244"/>
        <item x="255"/>
        <item x="191"/>
        <item x="251"/>
        <item x="147"/>
        <item x="256"/>
        <item x="242"/>
        <item x="178"/>
        <item x="237"/>
        <item x="211"/>
        <item x="193"/>
        <item x="177"/>
        <item x="184"/>
        <item x="188"/>
        <item x="208"/>
        <item x="200"/>
        <item x="194"/>
        <item x="190"/>
        <item x="210"/>
        <item x="180"/>
        <item x="229"/>
        <item x="203"/>
        <item x="174"/>
        <item x="253"/>
        <item x="245"/>
        <item x="241"/>
        <item x="250"/>
        <item x="149"/>
        <item x="166"/>
        <item x="235"/>
        <item x="261"/>
        <item x="216"/>
        <item x="206"/>
        <item x="162"/>
        <item x="201"/>
        <item x="161"/>
        <item x="262"/>
        <item x="212"/>
        <item x="218"/>
        <item x="219"/>
        <item x="168"/>
        <item x="167"/>
        <item x="315"/>
        <item x="322"/>
        <item x="334"/>
        <item x="343"/>
        <item x="349"/>
        <item x="342"/>
        <item x="339"/>
        <item x="327"/>
        <item x="346"/>
        <item x="409"/>
        <item x="382"/>
        <item x="380"/>
        <item x="381"/>
        <item x="383"/>
        <item x="434"/>
        <item x="431"/>
        <item x="429"/>
        <item x="425"/>
        <item x="411"/>
        <item x="412"/>
        <item x="410"/>
        <item x="423"/>
        <item x="414"/>
        <item x="436"/>
        <item x="416"/>
        <item x="420"/>
        <item x="427"/>
        <item x="360"/>
        <item x="368"/>
        <item x="403"/>
        <item x="371"/>
        <item x="367"/>
        <item x="374"/>
        <item x="370"/>
        <item x="401"/>
        <item x="379"/>
        <item x="375"/>
        <item x="369"/>
        <item x="372"/>
        <item x="363"/>
        <item x="376"/>
        <item x="377"/>
        <item x="387"/>
        <item x="378"/>
        <item x="362"/>
        <item x="440"/>
        <item x="439"/>
        <item x="398"/>
        <item x="392"/>
        <item x="396"/>
        <item x="394"/>
        <item x="432"/>
        <item x="399"/>
        <item x="421"/>
        <item x="182"/>
        <item x="269"/>
        <item x="337"/>
        <item x="312"/>
        <item x="27"/>
        <item x="42"/>
        <item x="467"/>
        <item x="468"/>
        <item x="33"/>
        <item x="28"/>
        <item x="38"/>
        <item x="37"/>
        <item x="26"/>
        <item x="46"/>
        <item x="34"/>
        <item x="35"/>
        <item x="47"/>
        <item x="225"/>
        <item x="320"/>
        <item x="324"/>
        <item x="323"/>
        <item x="232"/>
        <item x="230"/>
        <item x="231"/>
        <item x="198"/>
        <item x="185"/>
        <item x="195"/>
        <item x="418"/>
        <item x="417"/>
        <item x="137"/>
        <item x="444"/>
        <item x="443"/>
        <item x="442"/>
        <item x="2"/>
        <item x="6"/>
        <item x="7"/>
        <item x="5"/>
        <item x="126"/>
        <item x="302"/>
        <item x="138"/>
        <item x="199"/>
        <item x="97"/>
        <item x="321"/>
        <item x="134"/>
        <item x="101"/>
        <item x="260"/>
        <item x="4"/>
        <item x="155"/>
        <item x="213"/>
        <item x="465"/>
        <item x="400"/>
        <item x="243"/>
        <item x="70"/>
        <item x="69"/>
        <item x="23"/>
        <item x="24"/>
        <item x="18"/>
        <item x="22"/>
        <item x="20"/>
        <item x="21"/>
        <item x="17"/>
        <item x="19"/>
        <item x="108"/>
        <item x="82"/>
        <item x="144"/>
        <item x="98"/>
        <item x="67"/>
        <item x="89"/>
        <item x="54"/>
        <item x="79"/>
        <item x="53"/>
        <item x="51"/>
        <item x="59"/>
        <item x="52"/>
        <item x="102"/>
        <item x="131"/>
        <item x="83"/>
        <item x="115"/>
        <item x="110"/>
        <item x="159"/>
        <item x="96"/>
        <item x="140"/>
        <item x="61"/>
        <item x="105"/>
        <item x="142"/>
        <item x="136"/>
        <item x="112"/>
        <item x="91"/>
        <item x="85"/>
        <item x="80"/>
        <item x="29"/>
        <item x="156"/>
        <item x="60"/>
        <item x="87"/>
        <item x="117"/>
        <item x="125"/>
        <item x="139"/>
        <item x="122"/>
        <item x="94"/>
        <item x="120"/>
        <item x="63"/>
        <item x="154"/>
        <item x="153"/>
        <item x="57"/>
        <item x="119"/>
        <item x="209"/>
        <item x="384"/>
        <item x="361"/>
        <item x="292"/>
        <item x="264"/>
        <item x="41"/>
        <item x="445"/>
        <item x="107"/>
        <item x="395"/>
        <item x="300"/>
        <item x="316"/>
        <item x="123"/>
        <item x="270"/>
        <item x="285"/>
        <item x="462"/>
        <item x="179"/>
        <item x="455"/>
        <item x="448"/>
        <item x="282"/>
        <item x="151"/>
        <item x="437"/>
        <item x="214"/>
        <item x="249"/>
        <item x="407"/>
        <item x="453"/>
        <item x="303"/>
        <item x="419"/>
        <item x="402"/>
        <item x="422"/>
        <item x="415"/>
        <item x="406"/>
        <item x="317"/>
        <item x="128"/>
        <item x="129"/>
        <item x="116"/>
        <item x="207"/>
        <item x="449"/>
        <item x="393"/>
        <item x="304"/>
        <item x="298"/>
        <item x="217"/>
        <item x="426"/>
        <item x="331"/>
        <item x="236"/>
        <item x="311"/>
        <item x="276"/>
        <item x="32"/>
        <item x="336"/>
        <item x="228"/>
        <item x="176"/>
        <item x="113"/>
        <item x="332"/>
        <item x="246"/>
        <item x="103"/>
        <item x="275"/>
        <item x="160"/>
        <item x="106"/>
        <item x="224"/>
        <item x="127"/>
        <item x="301"/>
        <item x="328"/>
        <item x="345"/>
        <item x="307"/>
        <item x="145"/>
        <item x="65"/>
        <item x="386"/>
        <item x="10"/>
        <item x="233"/>
        <item x="333"/>
        <item x="461"/>
        <item x="221"/>
        <item x="114"/>
        <item x="341"/>
        <item x="148"/>
        <item x="319"/>
        <item x="192"/>
        <item x="447"/>
        <item x="454"/>
        <item x="254"/>
        <item x="258"/>
        <item x="433"/>
        <item x="173"/>
        <item x="340"/>
        <item x="385"/>
        <item x="121"/>
        <item x="111"/>
        <item x="450"/>
        <item x="100"/>
        <item x="391"/>
        <item x="424"/>
        <item x="291"/>
        <item x="366"/>
        <item x="25"/>
        <item x="330"/>
        <item x="259"/>
        <item x="390"/>
        <item x="266"/>
        <item x="84"/>
        <item x="172"/>
        <item x="457"/>
        <item x="86"/>
        <item x="353"/>
        <item x="359"/>
        <item x="43"/>
        <item x="183"/>
        <item x="306"/>
        <item x="458"/>
        <item x="314"/>
        <item x="338"/>
        <item x="408"/>
        <item x="413"/>
        <item x="267"/>
        <item x="404"/>
        <item x="308"/>
        <item x="318"/>
        <item x="309"/>
        <item x="50"/>
        <item x="252"/>
        <item x="239"/>
        <item x="133"/>
        <item x="452"/>
        <item x="364"/>
        <item x="271"/>
        <item x="430"/>
        <item x="351"/>
        <item x="141"/>
        <item x="405"/>
        <item x="181"/>
        <item x="397"/>
        <item x="365"/>
        <item x="99"/>
        <item x="347"/>
        <item x="14"/>
        <item x="389"/>
        <item x="124"/>
        <item x="164"/>
        <item x="435"/>
        <item x="81"/>
        <item x="451"/>
        <item x="326"/>
        <item x="78"/>
        <item x="263"/>
        <item x="13"/>
        <item x="348"/>
        <item x="189"/>
        <item x="49"/>
        <item x="240"/>
        <item x="104"/>
        <item x="299"/>
        <item x="143"/>
        <item x="305"/>
        <item x="373"/>
        <item x="329"/>
        <item x="388"/>
        <item x="204"/>
        <item x="352"/>
        <item x="202"/>
        <item x="265"/>
        <item x="277"/>
        <item x="428"/>
        <item x="118"/>
        <item x="152"/>
        <item x="310"/>
        <item x="288"/>
        <item x="109"/>
        <item x="157"/>
        <item x="325"/>
        <item x="355"/>
        <item x="30"/>
        <item x="92"/>
        <item x="441"/>
        <item x="438"/>
        <item x="40"/>
        <item x="466"/>
        <item x="186"/>
        <item x="226"/>
        <item x="187"/>
        <item x="197"/>
        <item x="196"/>
        <item x="220"/>
        <item x="274"/>
        <item x="130"/>
        <item x="71"/>
        <item x="74"/>
        <item x="75"/>
        <item x="62"/>
        <item x="55"/>
        <item x="72"/>
        <item x="66"/>
        <item x="77"/>
        <item x="73"/>
        <item x="132"/>
        <item x="135"/>
        <item x="45"/>
        <item x="169"/>
        <item x="48"/>
        <item x="464"/>
        <item x="95"/>
        <item x="44"/>
        <item x="354"/>
        <item x="293"/>
        <item x="294"/>
        <item x="335"/>
        <item x="296"/>
        <item x="295"/>
        <item x="297"/>
        <item x="93"/>
        <item x="90"/>
        <item x="15"/>
        <item x="56"/>
        <item x="16"/>
        <item x="11"/>
        <item x="88"/>
        <item x="12"/>
        <item x="358"/>
        <item x="68"/>
        <item x="456"/>
        <item x="459"/>
        <item x="446"/>
        <item x="350"/>
        <item x="460"/>
        <item x="356"/>
        <item x="313"/>
        <item x="357"/>
        <item x="0"/>
        <item x="76"/>
        <item x="8"/>
        <item x="36"/>
        <item x="9"/>
        <item x="463"/>
        <item x="31"/>
        <item x="64"/>
        <item x="1"/>
        <item x="58"/>
        <item x="39"/>
        <item t="default"/>
      </items>
    </pivotField>
    <pivotField dataField="1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2">
    <i>
      <x v="1"/>
    </i>
    <i t="grand">
      <x/>
    </i>
  </rowItems>
  <colItems count="1">
    <i/>
  </colItems>
  <dataFields count="1">
    <dataField name="Serial we not  found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79910F-1828-4C50-A830-3F35FDF0BA66}" name="PivotTable6" cacheId="3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0" firstHeaderRow="1" firstDataRow="1" firstDataCol="1"/>
  <pivotFields count="7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/>
    <pivotField dataField="1" compact="0" outline="0"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Status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518"/>
  <sheetViews>
    <sheetView showGridLines="0" tabSelected="1" workbookViewId="0">
      <pane ySplit="1" topLeftCell="A410" activePane="bottomLeft" state="frozen"/>
      <selection pane="bottomLeft" activeCell="F10" sqref="F10"/>
    </sheetView>
  </sheetViews>
  <sheetFormatPr defaultRowHeight="15"/>
  <cols>
    <col min="1" max="1" width="5" customWidth="1"/>
    <col min="2" max="2" width="32" customWidth="1"/>
    <col min="3" max="3" width="15" customWidth="1"/>
    <col min="4" max="4" width="32" customWidth="1"/>
    <col min="5" max="5" width="16" customWidth="1"/>
    <col min="6" max="6" width="107.85546875" bestFit="1" customWidth="1"/>
    <col min="7" max="7" width="30" customWidth="1"/>
  </cols>
  <sheetData>
    <row r="1" spans="1:7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hidden="1" customHeight="1">
      <c r="A2" s="2">
        <v>1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/>
    </row>
    <row r="3" spans="1:7" ht="18" hidden="1" customHeight="1">
      <c r="A3" s="4">
        <v>2</v>
      </c>
      <c r="B3" s="5" t="s">
        <v>12</v>
      </c>
      <c r="C3" s="5" t="s">
        <v>13</v>
      </c>
      <c r="D3" s="5" t="s">
        <v>14</v>
      </c>
      <c r="E3" s="5" t="s">
        <v>15</v>
      </c>
      <c r="F3" s="5" t="s">
        <v>16</v>
      </c>
      <c r="G3" s="5"/>
    </row>
    <row r="4" spans="1:7" ht="18" hidden="1" customHeight="1">
      <c r="A4" s="6">
        <v>3</v>
      </c>
      <c r="B4" s="7" t="s">
        <v>17</v>
      </c>
      <c r="C4" s="7" t="s">
        <v>18</v>
      </c>
      <c r="D4" s="7" t="s">
        <v>18</v>
      </c>
      <c r="E4" s="7" t="s">
        <v>15</v>
      </c>
      <c r="F4" s="7" t="s">
        <v>19</v>
      </c>
      <c r="G4" s="7" t="s">
        <v>20</v>
      </c>
    </row>
    <row r="5" spans="1:7" ht="18" hidden="1" customHeight="1">
      <c r="A5" s="4">
        <v>4</v>
      </c>
      <c r="B5" s="5" t="s">
        <v>21</v>
      </c>
      <c r="C5" s="5" t="s">
        <v>22</v>
      </c>
      <c r="D5" s="5" t="s">
        <v>23</v>
      </c>
      <c r="E5" s="5" t="s">
        <v>15</v>
      </c>
      <c r="F5" s="5" t="s">
        <v>24</v>
      </c>
      <c r="G5" s="5" t="s">
        <v>25</v>
      </c>
    </row>
    <row r="6" spans="1:7" ht="18" hidden="1" customHeight="1">
      <c r="A6" s="8">
        <v>5</v>
      </c>
      <c r="B6" s="9" t="s">
        <v>26</v>
      </c>
      <c r="C6" s="9" t="s">
        <v>27</v>
      </c>
      <c r="D6" s="9" t="s">
        <v>27</v>
      </c>
      <c r="E6" s="9" t="s">
        <v>28</v>
      </c>
      <c r="F6" s="9" t="s">
        <v>11</v>
      </c>
      <c r="G6" s="9"/>
    </row>
    <row r="7" spans="1:7" ht="18" hidden="1" customHeight="1">
      <c r="A7" s="4">
        <v>6</v>
      </c>
      <c r="B7" s="5" t="s">
        <v>29</v>
      </c>
      <c r="C7" s="5" t="s">
        <v>30</v>
      </c>
      <c r="D7" s="5" t="s">
        <v>31</v>
      </c>
      <c r="E7" s="5" t="s">
        <v>32</v>
      </c>
      <c r="F7" s="5" t="s">
        <v>11</v>
      </c>
      <c r="G7" s="5"/>
    </row>
    <row r="8" spans="1:7" ht="18" hidden="1" customHeight="1">
      <c r="A8" s="10">
        <v>7</v>
      </c>
      <c r="B8" s="11" t="s">
        <v>33</v>
      </c>
      <c r="C8" s="11" t="s">
        <v>34</v>
      </c>
      <c r="D8" s="11" t="s">
        <v>35</v>
      </c>
      <c r="E8" s="11" t="s">
        <v>32</v>
      </c>
      <c r="F8" s="11" t="s">
        <v>11</v>
      </c>
      <c r="G8" s="11"/>
    </row>
    <row r="9" spans="1:7" ht="18" hidden="1" customHeight="1">
      <c r="A9" s="4">
        <v>8</v>
      </c>
      <c r="B9" s="5" t="s">
        <v>36</v>
      </c>
      <c r="C9" s="5" t="s">
        <v>37</v>
      </c>
      <c r="D9" s="5" t="s">
        <v>38</v>
      </c>
      <c r="E9" s="5" t="s">
        <v>32</v>
      </c>
      <c r="F9" s="5" t="s">
        <v>11</v>
      </c>
      <c r="G9" s="5"/>
    </row>
    <row r="10" spans="1:7" ht="18" hidden="1" customHeight="1">
      <c r="A10" s="10">
        <v>9</v>
      </c>
      <c r="B10" s="11" t="s">
        <v>26</v>
      </c>
      <c r="C10" s="11" t="s">
        <v>27</v>
      </c>
      <c r="D10" s="11" t="s">
        <v>27</v>
      </c>
      <c r="E10" s="11" t="s">
        <v>32</v>
      </c>
      <c r="F10" s="11" t="s">
        <v>11</v>
      </c>
      <c r="G10" s="11"/>
    </row>
    <row r="11" spans="1:7" ht="18" hidden="1" customHeight="1">
      <c r="A11" s="4">
        <v>10</v>
      </c>
      <c r="B11" s="5" t="s">
        <v>39</v>
      </c>
      <c r="C11" s="5" t="s">
        <v>40</v>
      </c>
      <c r="D11" s="5" t="s">
        <v>41</v>
      </c>
      <c r="E11" s="5" t="s">
        <v>32</v>
      </c>
      <c r="F11" s="5" t="s">
        <v>11</v>
      </c>
      <c r="G11" s="5"/>
    </row>
    <row r="12" spans="1:7" ht="18" hidden="1" customHeight="1">
      <c r="A12" s="10">
        <v>11</v>
      </c>
      <c r="B12" s="11" t="s">
        <v>42</v>
      </c>
      <c r="C12" s="11" t="s">
        <v>43</v>
      </c>
      <c r="D12" s="11" t="s">
        <v>44</v>
      </c>
      <c r="E12" s="11" t="s">
        <v>32</v>
      </c>
      <c r="F12" s="11" t="s">
        <v>11</v>
      </c>
      <c r="G12" s="11"/>
    </row>
    <row r="13" spans="1:7" ht="18" hidden="1" customHeight="1">
      <c r="A13" s="4">
        <v>12</v>
      </c>
      <c r="B13" s="5" t="s">
        <v>45</v>
      </c>
      <c r="C13" s="5" t="s">
        <v>46</v>
      </c>
      <c r="D13" s="5" t="s">
        <v>47</v>
      </c>
      <c r="E13" s="5" t="s">
        <v>32</v>
      </c>
      <c r="F13" s="5" t="s">
        <v>11</v>
      </c>
      <c r="G13" s="5"/>
    </row>
    <row r="14" spans="1:7" ht="18" hidden="1" customHeight="1">
      <c r="A14" s="10">
        <v>13</v>
      </c>
      <c r="B14" s="11" t="s">
        <v>48</v>
      </c>
      <c r="C14" s="11" t="s">
        <v>49</v>
      </c>
      <c r="D14" s="11" t="s">
        <v>50</v>
      </c>
      <c r="E14" s="11" t="s">
        <v>32</v>
      </c>
      <c r="F14" s="11" t="s">
        <v>11</v>
      </c>
      <c r="G14" s="11"/>
    </row>
    <row r="15" spans="1:7" ht="18" hidden="1" customHeight="1">
      <c r="A15" s="4">
        <v>14</v>
      </c>
      <c r="B15" s="5" t="s">
        <v>51</v>
      </c>
      <c r="C15" s="5" t="s">
        <v>52</v>
      </c>
      <c r="D15" s="5" t="s">
        <v>53</v>
      </c>
      <c r="E15" s="5" t="s">
        <v>32</v>
      </c>
      <c r="F15" s="5" t="s">
        <v>11</v>
      </c>
      <c r="G15" s="5"/>
    </row>
    <row r="16" spans="1:7" ht="18" hidden="1" customHeight="1">
      <c r="A16" s="10">
        <v>15</v>
      </c>
      <c r="B16" s="11" t="s">
        <v>54</v>
      </c>
      <c r="C16" s="11" t="s">
        <v>55</v>
      </c>
      <c r="D16" s="11" t="s">
        <v>56</v>
      </c>
      <c r="E16" s="11" t="s">
        <v>32</v>
      </c>
      <c r="F16" s="11" t="s">
        <v>11</v>
      </c>
      <c r="G16" s="11"/>
    </row>
    <row r="17" spans="1:7" ht="18" hidden="1" customHeight="1">
      <c r="A17" s="4">
        <v>16</v>
      </c>
      <c r="B17" s="5" t="s">
        <v>57</v>
      </c>
      <c r="C17" s="5" t="s">
        <v>58</v>
      </c>
      <c r="D17" s="5" t="s">
        <v>59</v>
      </c>
      <c r="E17" s="5" t="s">
        <v>32</v>
      </c>
      <c r="F17" s="5" t="s">
        <v>11</v>
      </c>
      <c r="G17" s="5"/>
    </row>
    <row r="18" spans="1:7" ht="18" hidden="1" customHeight="1">
      <c r="A18" s="10">
        <v>17</v>
      </c>
      <c r="B18" s="11" t="s">
        <v>60</v>
      </c>
      <c r="C18" s="11" t="s">
        <v>61</v>
      </c>
      <c r="D18" s="11" t="s">
        <v>62</v>
      </c>
      <c r="E18" s="11" t="s">
        <v>32</v>
      </c>
      <c r="F18" s="11" t="s">
        <v>11</v>
      </c>
      <c r="G18" s="11"/>
    </row>
    <row r="19" spans="1:7" ht="18" hidden="1" customHeight="1">
      <c r="A19" s="4">
        <v>18</v>
      </c>
      <c r="B19" s="5" t="s">
        <v>63</v>
      </c>
      <c r="C19" s="5" t="s">
        <v>64</v>
      </c>
      <c r="D19" s="5" t="s">
        <v>65</v>
      </c>
      <c r="E19" s="5" t="s">
        <v>32</v>
      </c>
      <c r="F19" s="5" t="s">
        <v>11</v>
      </c>
      <c r="G19" s="5"/>
    </row>
    <row r="20" spans="1:7" ht="18" hidden="1" customHeight="1">
      <c r="A20" s="10">
        <v>19</v>
      </c>
      <c r="B20" s="11" t="s">
        <v>66</v>
      </c>
      <c r="C20" s="11" t="s">
        <v>67</v>
      </c>
      <c r="D20" s="11" t="s">
        <v>68</v>
      </c>
      <c r="E20" s="11" t="s">
        <v>32</v>
      </c>
      <c r="F20" s="11" t="s">
        <v>11</v>
      </c>
      <c r="G20" s="11"/>
    </row>
    <row r="21" spans="1:7" ht="18" hidden="1" customHeight="1">
      <c r="A21" s="4">
        <v>20</v>
      </c>
      <c r="B21" s="5" t="s">
        <v>69</v>
      </c>
      <c r="C21" s="5" t="s">
        <v>70</v>
      </c>
      <c r="D21" s="5" t="s">
        <v>71</v>
      </c>
      <c r="E21" s="5" t="s">
        <v>32</v>
      </c>
      <c r="F21" s="5" t="s">
        <v>11</v>
      </c>
      <c r="G21" s="5"/>
    </row>
    <row r="22" spans="1:7" ht="18" hidden="1" customHeight="1">
      <c r="A22" s="10">
        <v>21</v>
      </c>
      <c r="B22" s="11" t="s">
        <v>72</v>
      </c>
      <c r="C22" s="11" t="s">
        <v>73</v>
      </c>
      <c r="D22" s="11" t="s">
        <v>74</v>
      </c>
      <c r="E22" s="11" t="s">
        <v>32</v>
      </c>
      <c r="F22" s="11" t="s">
        <v>11</v>
      </c>
      <c r="G22" s="11"/>
    </row>
    <row r="23" spans="1:7" ht="18" hidden="1" customHeight="1">
      <c r="A23" s="4">
        <v>22</v>
      </c>
      <c r="B23" s="5" t="s">
        <v>75</v>
      </c>
      <c r="C23" s="5" t="s">
        <v>76</v>
      </c>
      <c r="D23" s="5" t="s">
        <v>76</v>
      </c>
      <c r="E23" s="5" t="s">
        <v>32</v>
      </c>
      <c r="F23" s="5" t="s">
        <v>11</v>
      </c>
      <c r="G23" s="5"/>
    </row>
    <row r="24" spans="1:7" ht="18" hidden="1" customHeight="1">
      <c r="A24" s="10">
        <v>23</v>
      </c>
      <c r="B24" s="11" t="s">
        <v>77</v>
      </c>
      <c r="C24" s="11" t="s">
        <v>78</v>
      </c>
      <c r="D24" s="11" t="s">
        <v>79</v>
      </c>
      <c r="E24" s="11" t="s">
        <v>32</v>
      </c>
      <c r="F24" s="11" t="s">
        <v>11</v>
      </c>
      <c r="G24" s="11"/>
    </row>
    <row r="25" spans="1:7" ht="18" hidden="1" customHeight="1">
      <c r="A25" s="4">
        <v>24</v>
      </c>
      <c r="B25" s="5" t="s">
        <v>80</v>
      </c>
      <c r="C25" s="5" t="s">
        <v>81</v>
      </c>
      <c r="D25" s="5" t="s">
        <v>82</v>
      </c>
      <c r="E25" s="5" t="s">
        <v>32</v>
      </c>
      <c r="F25" s="5" t="s">
        <v>11</v>
      </c>
      <c r="G25" s="5"/>
    </row>
    <row r="26" spans="1:7" ht="18" hidden="1" customHeight="1">
      <c r="A26" s="10">
        <v>25</v>
      </c>
      <c r="B26" s="11" t="s">
        <v>83</v>
      </c>
      <c r="C26" s="11" t="s">
        <v>84</v>
      </c>
      <c r="D26" s="11" t="s">
        <v>85</v>
      </c>
      <c r="E26" s="11" t="s">
        <v>32</v>
      </c>
      <c r="F26" s="11" t="s">
        <v>11</v>
      </c>
      <c r="G26" s="11"/>
    </row>
    <row r="27" spans="1:7" ht="18" hidden="1" customHeight="1">
      <c r="A27" s="4">
        <v>26</v>
      </c>
      <c r="B27" s="5" t="s">
        <v>7</v>
      </c>
      <c r="C27" s="5" t="s">
        <v>8</v>
      </c>
      <c r="D27" s="5" t="s">
        <v>9</v>
      </c>
      <c r="E27" s="5" t="s">
        <v>32</v>
      </c>
      <c r="F27" s="5" t="s">
        <v>11</v>
      </c>
      <c r="G27" s="5"/>
    </row>
    <row r="28" spans="1:7" ht="18" hidden="1" customHeight="1">
      <c r="A28" s="10">
        <v>27</v>
      </c>
      <c r="B28" s="11" t="s">
        <v>86</v>
      </c>
      <c r="C28" s="11" t="s">
        <v>87</v>
      </c>
      <c r="D28" s="11" t="s">
        <v>88</v>
      </c>
      <c r="E28" s="11" t="s">
        <v>32</v>
      </c>
      <c r="F28" s="11" t="s">
        <v>11</v>
      </c>
      <c r="G28" s="11"/>
    </row>
    <row r="29" spans="1:7" ht="18" hidden="1" customHeight="1">
      <c r="A29" s="4">
        <v>28</v>
      </c>
      <c r="B29" s="5" t="s">
        <v>89</v>
      </c>
      <c r="C29" s="5" t="s">
        <v>90</v>
      </c>
      <c r="D29" s="5" t="s">
        <v>91</v>
      </c>
      <c r="E29" s="5" t="s">
        <v>32</v>
      </c>
      <c r="F29" s="5" t="s">
        <v>11</v>
      </c>
      <c r="G29" s="5"/>
    </row>
    <row r="30" spans="1:7" ht="18" hidden="1" customHeight="1">
      <c r="A30" s="10">
        <v>29</v>
      </c>
      <c r="B30" s="11" t="s">
        <v>92</v>
      </c>
      <c r="C30" s="11" t="s">
        <v>93</v>
      </c>
      <c r="D30" s="11" t="s">
        <v>94</v>
      </c>
      <c r="E30" s="11" t="s">
        <v>32</v>
      </c>
      <c r="F30" s="11" t="s">
        <v>11</v>
      </c>
      <c r="G30" s="11"/>
    </row>
    <row r="31" spans="1:7" ht="18" hidden="1" customHeight="1">
      <c r="A31" s="4">
        <v>30</v>
      </c>
      <c r="B31" s="5" t="s">
        <v>95</v>
      </c>
      <c r="C31" s="5" t="s">
        <v>96</v>
      </c>
      <c r="D31" s="5" t="s">
        <v>97</v>
      </c>
      <c r="E31" s="5" t="s">
        <v>32</v>
      </c>
      <c r="F31" s="5" t="s">
        <v>11</v>
      </c>
      <c r="G31" s="5"/>
    </row>
    <row r="32" spans="1:7" ht="18" hidden="1" customHeight="1">
      <c r="A32" s="10">
        <v>31</v>
      </c>
      <c r="B32" s="11" t="s">
        <v>12</v>
      </c>
      <c r="C32" s="11" t="s">
        <v>13</v>
      </c>
      <c r="D32" s="11" t="s">
        <v>14</v>
      </c>
      <c r="E32" s="11" t="s">
        <v>32</v>
      </c>
      <c r="F32" s="11" t="s">
        <v>11</v>
      </c>
      <c r="G32" s="11"/>
    </row>
    <row r="33" spans="1:7" ht="18" hidden="1" customHeight="1">
      <c r="A33" s="4">
        <v>32</v>
      </c>
      <c r="B33" s="5" t="s">
        <v>98</v>
      </c>
      <c r="C33" s="5" t="s">
        <v>99</v>
      </c>
      <c r="D33" s="5" t="s">
        <v>100</v>
      </c>
      <c r="E33" s="5" t="s">
        <v>32</v>
      </c>
      <c r="F33" s="5" t="s">
        <v>11</v>
      </c>
      <c r="G33" s="5"/>
    </row>
    <row r="34" spans="1:7" ht="18" hidden="1" customHeight="1">
      <c r="A34" s="10">
        <v>33</v>
      </c>
      <c r="B34" s="11" t="s">
        <v>101</v>
      </c>
      <c r="C34" s="11" t="s">
        <v>102</v>
      </c>
      <c r="D34" s="11" t="s">
        <v>103</v>
      </c>
      <c r="E34" s="11" t="s">
        <v>32</v>
      </c>
      <c r="F34" s="11" t="s">
        <v>11</v>
      </c>
      <c r="G34" s="11"/>
    </row>
    <row r="35" spans="1:7" ht="18" hidden="1" customHeight="1">
      <c r="A35" s="4">
        <v>34</v>
      </c>
      <c r="B35" s="5" t="s">
        <v>104</v>
      </c>
      <c r="C35" s="5" t="s">
        <v>105</v>
      </c>
      <c r="D35" s="5" t="s">
        <v>106</v>
      </c>
      <c r="E35" s="5" t="s">
        <v>32</v>
      </c>
      <c r="F35" s="5" t="s">
        <v>11</v>
      </c>
      <c r="G35" s="5"/>
    </row>
    <row r="36" spans="1:7" ht="18" hidden="1" customHeight="1">
      <c r="A36" s="10">
        <v>35</v>
      </c>
      <c r="B36" s="11" t="s">
        <v>107</v>
      </c>
      <c r="C36" s="11" t="s">
        <v>108</v>
      </c>
      <c r="D36" s="11" t="s">
        <v>109</v>
      </c>
      <c r="E36" s="11" t="s">
        <v>32</v>
      </c>
      <c r="F36" s="11" t="s">
        <v>11</v>
      </c>
      <c r="G36" s="11"/>
    </row>
    <row r="37" spans="1:7" ht="18" hidden="1" customHeight="1">
      <c r="A37" s="4">
        <v>36</v>
      </c>
      <c r="B37" s="5" t="s">
        <v>110</v>
      </c>
      <c r="C37" s="5" t="s">
        <v>111</v>
      </c>
      <c r="D37" s="5" t="s">
        <v>112</v>
      </c>
      <c r="E37" s="5" t="s">
        <v>32</v>
      </c>
      <c r="F37" s="5" t="s">
        <v>11</v>
      </c>
      <c r="G37" s="5"/>
    </row>
    <row r="38" spans="1:7" ht="18" hidden="1" customHeight="1">
      <c r="A38" s="10">
        <v>37</v>
      </c>
      <c r="B38" s="11" t="s">
        <v>113</v>
      </c>
      <c r="C38" s="11" t="s">
        <v>114</v>
      </c>
      <c r="D38" s="11" t="s">
        <v>115</v>
      </c>
      <c r="E38" s="11" t="s">
        <v>32</v>
      </c>
      <c r="F38" s="11" t="s">
        <v>11</v>
      </c>
      <c r="G38" s="11"/>
    </row>
    <row r="39" spans="1:7" ht="18" hidden="1" customHeight="1">
      <c r="A39" s="4">
        <v>38</v>
      </c>
      <c r="B39" s="5" t="s">
        <v>116</v>
      </c>
      <c r="C39" s="5" t="s">
        <v>117</v>
      </c>
      <c r="D39" s="5" t="s">
        <v>118</v>
      </c>
      <c r="E39" s="5" t="s">
        <v>32</v>
      </c>
      <c r="F39" s="5" t="s">
        <v>11</v>
      </c>
      <c r="G39" s="5"/>
    </row>
    <row r="40" spans="1:7" ht="18" hidden="1" customHeight="1">
      <c r="A40" s="10">
        <v>39</v>
      </c>
      <c r="B40" s="11" t="s">
        <v>119</v>
      </c>
      <c r="C40" s="11" t="s">
        <v>120</v>
      </c>
      <c r="D40" s="11" t="s">
        <v>121</v>
      </c>
      <c r="E40" s="11" t="s">
        <v>32</v>
      </c>
      <c r="F40" s="11" t="s">
        <v>11</v>
      </c>
      <c r="G40" s="11"/>
    </row>
    <row r="41" spans="1:7" ht="18" hidden="1" customHeight="1">
      <c r="A41" s="4">
        <v>40</v>
      </c>
      <c r="B41" s="5" t="s">
        <v>122</v>
      </c>
      <c r="C41" s="5" t="s">
        <v>123</v>
      </c>
      <c r="D41" s="5" t="s">
        <v>124</v>
      </c>
      <c r="E41" s="5" t="s">
        <v>32</v>
      </c>
      <c r="F41" s="5" t="s">
        <v>11</v>
      </c>
      <c r="G41" s="5"/>
    </row>
    <row r="42" spans="1:7" ht="18" hidden="1" customHeight="1">
      <c r="A42" s="10">
        <v>41</v>
      </c>
      <c r="B42" s="11" t="s">
        <v>125</v>
      </c>
      <c r="C42" s="11" t="s">
        <v>126</v>
      </c>
      <c r="D42" s="11" t="s">
        <v>126</v>
      </c>
      <c r="E42" s="11" t="s">
        <v>32</v>
      </c>
      <c r="F42" s="11" t="s">
        <v>11</v>
      </c>
      <c r="G42" s="11"/>
    </row>
    <row r="43" spans="1:7" ht="18" hidden="1" customHeight="1">
      <c r="A43" s="4">
        <v>42</v>
      </c>
      <c r="B43" s="5" t="s">
        <v>127</v>
      </c>
      <c r="C43" s="5" t="s">
        <v>128</v>
      </c>
      <c r="D43" s="5" t="s">
        <v>129</v>
      </c>
      <c r="E43" s="5" t="s">
        <v>32</v>
      </c>
      <c r="F43" s="5" t="s">
        <v>130</v>
      </c>
      <c r="G43" s="5"/>
    </row>
    <row r="44" spans="1:7" ht="18" hidden="1" customHeight="1">
      <c r="A44" s="10">
        <v>43</v>
      </c>
      <c r="B44" s="11" t="s">
        <v>131</v>
      </c>
      <c r="C44" s="11" t="s">
        <v>132</v>
      </c>
      <c r="D44" s="11" t="s">
        <v>133</v>
      </c>
      <c r="E44" s="11" t="s">
        <v>32</v>
      </c>
      <c r="F44" s="11" t="s">
        <v>11</v>
      </c>
      <c r="G44" s="11"/>
    </row>
    <row r="45" spans="1:7" ht="18" hidden="1" customHeight="1">
      <c r="A45" s="4">
        <v>44</v>
      </c>
      <c r="B45" s="5" t="s">
        <v>134</v>
      </c>
      <c r="C45" s="5" t="s">
        <v>135</v>
      </c>
      <c r="D45" s="5" t="s">
        <v>136</v>
      </c>
      <c r="E45" s="5" t="s">
        <v>32</v>
      </c>
      <c r="F45" s="5" t="s">
        <v>11</v>
      </c>
      <c r="G45" s="5"/>
    </row>
    <row r="46" spans="1:7" ht="18" hidden="1" customHeight="1">
      <c r="A46" s="10">
        <v>45</v>
      </c>
      <c r="B46" s="11" t="s">
        <v>137</v>
      </c>
      <c r="C46" s="11" t="s">
        <v>138</v>
      </c>
      <c r="D46" s="11" t="s">
        <v>138</v>
      </c>
      <c r="E46" s="11" t="s">
        <v>32</v>
      </c>
      <c r="F46" s="11" t="s">
        <v>11</v>
      </c>
      <c r="G46" s="11"/>
    </row>
    <row r="47" spans="1:7" ht="18" hidden="1" customHeight="1">
      <c r="A47" s="4">
        <v>46</v>
      </c>
      <c r="B47" s="5" t="s">
        <v>139</v>
      </c>
      <c r="C47" s="5" t="s">
        <v>140</v>
      </c>
      <c r="D47" s="5" t="s">
        <v>141</v>
      </c>
      <c r="E47" s="5" t="s">
        <v>32</v>
      </c>
      <c r="F47" s="5" t="s">
        <v>11</v>
      </c>
      <c r="G47" s="5"/>
    </row>
    <row r="48" spans="1:7" ht="18" hidden="1" customHeight="1">
      <c r="A48" s="10">
        <v>47</v>
      </c>
      <c r="B48" s="11" t="s">
        <v>142</v>
      </c>
      <c r="C48" s="11" t="s">
        <v>143</v>
      </c>
      <c r="D48" s="11" t="s">
        <v>144</v>
      </c>
      <c r="E48" s="11" t="s">
        <v>32</v>
      </c>
      <c r="F48" s="11" t="s">
        <v>11</v>
      </c>
      <c r="G48" s="11"/>
    </row>
    <row r="49" spans="1:7" ht="18" hidden="1" customHeight="1">
      <c r="A49" s="4">
        <v>48</v>
      </c>
      <c r="B49" s="5" t="s">
        <v>145</v>
      </c>
      <c r="C49" s="5" t="s">
        <v>146</v>
      </c>
      <c r="D49" s="5" t="s">
        <v>147</v>
      </c>
      <c r="E49" s="5" t="s">
        <v>32</v>
      </c>
      <c r="F49" s="5" t="s">
        <v>148</v>
      </c>
      <c r="G49" s="5"/>
    </row>
    <row r="50" spans="1:7" ht="18" hidden="1" customHeight="1">
      <c r="A50" s="10">
        <v>49</v>
      </c>
      <c r="B50" s="11" t="s">
        <v>149</v>
      </c>
      <c r="C50" s="11" t="s">
        <v>150</v>
      </c>
      <c r="D50" s="11" t="s">
        <v>151</v>
      </c>
      <c r="E50" s="11" t="s">
        <v>32</v>
      </c>
      <c r="F50" s="11" t="s">
        <v>11</v>
      </c>
      <c r="G50" s="11"/>
    </row>
    <row r="51" spans="1:7" ht="18" hidden="1" customHeight="1">
      <c r="A51" s="4">
        <v>50</v>
      </c>
      <c r="B51" s="5" t="s">
        <v>152</v>
      </c>
      <c r="C51" s="5" t="s">
        <v>153</v>
      </c>
      <c r="D51" s="5" t="s">
        <v>154</v>
      </c>
      <c r="E51" s="5" t="s">
        <v>32</v>
      </c>
      <c r="F51" s="5" t="s">
        <v>155</v>
      </c>
      <c r="G51" s="5"/>
    </row>
    <row r="52" spans="1:7" ht="18" hidden="1" customHeight="1">
      <c r="A52" s="10">
        <v>51</v>
      </c>
      <c r="B52" s="11" t="s">
        <v>156</v>
      </c>
      <c r="C52" s="11" t="s">
        <v>157</v>
      </c>
      <c r="D52" s="11" t="s">
        <v>157</v>
      </c>
      <c r="E52" s="11" t="s">
        <v>32</v>
      </c>
      <c r="F52" s="11" t="s">
        <v>11</v>
      </c>
      <c r="G52" s="11"/>
    </row>
    <row r="53" spans="1:7" ht="18" hidden="1" customHeight="1">
      <c r="A53" s="4">
        <v>52</v>
      </c>
      <c r="B53" s="5" t="s">
        <v>158</v>
      </c>
      <c r="C53" s="5" t="s">
        <v>159</v>
      </c>
      <c r="D53" s="5" t="s">
        <v>160</v>
      </c>
      <c r="E53" s="5" t="s">
        <v>32</v>
      </c>
      <c r="F53" s="5" t="s">
        <v>11</v>
      </c>
      <c r="G53" s="5"/>
    </row>
    <row r="54" spans="1:7" ht="18" hidden="1" customHeight="1">
      <c r="A54" s="10">
        <v>53</v>
      </c>
      <c r="B54" s="11" t="s">
        <v>161</v>
      </c>
      <c r="C54" s="11" t="s">
        <v>162</v>
      </c>
      <c r="D54" s="11" t="s">
        <v>162</v>
      </c>
      <c r="E54" s="11" t="s">
        <v>32</v>
      </c>
      <c r="F54" s="11" t="s">
        <v>11</v>
      </c>
      <c r="G54" s="11"/>
    </row>
    <row r="55" spans="1:7" ht="18" hidden="1" customHeight="1">
      <c r="A55" s="4">
        <v>54</v>
      </c>
      <c r="B55" s="5" t="s">
        <v>163</v>
      </c>
      <c r="C55" s="5" t="s">
        <v>164</v>
      </c>
      <c r="D55" s="5" t="s">
        <v>165</v>
      </c>
      <c r="E55" s="5" t="s">
        <v>32</v>
      </c>
      <c r="F55" s="5" t="s">
        <v>11</v>
      </c>
      <c r="G55" s="5"/>
    </row>
    <row r="56" spans="1:7" ht="18" hidden="1" customHeight="1">
      <c r="A56" s="10">
        <v>55</v>
      </c>
      <c r="B56" s="11" t="s">
        <v>166</v>
      </c>
      <c r="C56" s="11" t="s">
        <v>167</v>
      </c>
      <c r="D56" s="11" t="s">
        <v>168</v>
      </c>
      <c r="E56" s="11" t="s">
        <v>32</v>
      </c>
      <c r="F56" s="11" t="s">
        <v>169</v>
      </c>
      <c r="G56" s="11"/>
    </row>
    <row r="57" spans="1:7" ht="18" hidden="1" customHeight="1">
      <c r="A57" s="4">
        <v>56</v>
      </c>
      <c r="B57" s="5" t="s">
        <v>170</v>
      </c>
      <c r="C57" s="5" t="s">
        <v>171</v>
      </c>
      <c r="D57" s="5" t="s">
        <v>172</v>
      </c>
      <c r="E57" s="5" t="s">
        <v>32</v>
      </c>
      <c r="F57" s="5" t="s">
        <v>11</v>
      </c>
      <c r="G57" s="5"/>
    </row>
    <row r="58" spans="1:7" ht="18" hidden="1" customHeight="1">
      <c r="A58" s="10">
        <v>57</v>
      </c>
      <c r="B58" s="11" t="s">
        <v>173</v>
      </c>
      <c r="C58" s="11" t="s">
        <v>174</v>
      </c>
      <c r="D58" s="11" t="s">
        <v>175</v>
      </c>
      <c r="E58" s="11" t="s">
        <v>32</v>
      </c>
      <c r="F58" s="11" t="s">
        <v>11</v>
      </c>
      <c r="G58" s="11"/>
    </row>
    <row r="59" spans="1:7" ht="18" hidden="1" customHeight="1">
      <c r="A59" s="4">
        <v>58</v>
      </c>
      <c r="B59" s="5" t="s">
        <v>176</v>
      </c>
      <c r="C59" s="5" t="s">
        <v>177</v>
      </c>
      <c r="D59" s="5" t="s">
        <v>178</v>
      </c>
      <c r="E59" s="5" t="s">
        <v>32</v>
      </c>
      <c r="F59" s="5" t="s">
        <v>11</v>
      </c>
      <c r="G59" s="5"/>
    </row>
    <row r="60" spans="1:7" ht="18" hidden="1" customHeight="1">
      <c r="A60" s="10">
        <v>59</v>
      </c>
      <c r="B60" s="11" t="s">
        <v>179</v>
      </c>
      <c r="C60" s="11" t="s">
        <v>180</v>
      </c>
      <c r="D60" s="11" t="s">
        <v>181</v>
      </c>
      <c r="E60" s="11" t="s">
        <v>32</v>
      </c>
      <c r="F60" s="11" t="s">
        <v>11</v>
      </c>
      <c r="G60" s="11"/>
    </row>
    <row r="61" spans="1:7" ht="18" hidden="1" customHeight="1">
      <c r="A61" s="4">
        <v>60</v>
      </c>
      <c r="B61" s="5" t="s">
        <v>182</v>
      </c>
      <c r="C61" s="5" t="s">
        <v>183</v>
      </c>
      <c r="D61" s="5" t="s">
        <v>184</v>
      </c>
      <c r="E61" s="5" t="s">
        <v>32</v>
      </c>
      <c r="F61" s="5" t="s">
        <v>11</v>
      </c>
      <c r="G61" s="5"/>
    </row>
    <row r="62" spans="1:7" ht="18" hidden="1" customHeight="1">
      <c r="A62" s="10">
        <v>61</v>
      </c>
      <c r="B62" s="11" t="s">
        <v>185</v>
      </c>
      <c r="C62" s="11" t="s">
        <v>186</v>
      </c>
      <c r="D62" s="11" t="s">
        <v>187</v>
      </c>
      <c r="E62" s="11" t="s">
        <v>32</v>
      </c>
      <c r="F62" s="11" t="s">
        <v>11</v>
      </c>
      <c r="G62" s="11"/>
    </row>
    <row r="63" spans="1:7" ht="18" hidden="1" customHeight="1">
      <c r="A63" s="4">
        <v>62</v>
      </c>
      <c r="B63" s="5" t="s">
        <v>188</v>
      </c>
      <c r="C63" s="5" t="s">
        <v>189</v>
      </c>
      <c r="D63" s="5" t="s">
        <v>190</v>
      </c>
      <c r="E63" s="5" t="s">
        <v>32</v>
      </c>
      <c r="F63" s="5" t="s">
        <v>11</v>
      </c>
      <c r="G63" s="5"/>
    </row>
    <row r="64" spans="1:7" ht="18" hidden="1" customHeight="1">
      <c r="A64" s="10">
        <v>63</v>
      </c>
      <c r="B64" s="11" t="s">
        <v>191</v>
      </c>
      <c r="C64" s="11" t="s">
        <v>192</v>
      </c>
      <c r="D64" s="11" t="s">
        <v>193</v>
      </c>
      <c r="E64" s="11" t="s">
        <v>32</v>
      </c>
      <c r="F64" s="11" t="s">
        <v>11</v>
      </c>
      <c r="G64" s="11"/>
    </row>
    <row r="65" spans="1:7" ht="18" hidden="1" customHeight="1">
      <c r="A65" s="4">
        <v>64</v>
      </c>
      <c r="B65" s="5" t="s">
        <v>194</v>
      </c>
      <c r="C65" s="5" t="s">
        <v>195</v>
      </c>
      <c r="D65" s="5" t="s">
        <v>196</v>
      </c>
      <c r="E65" s="5" t="s">
        <v>32</v>
      </c>
      <c r="F65" s="5" t="s">
        <v>11</v>
      </c>
      <c r="G65" s="5"/>
    </row>
    <row r="66" spans="1:7" ht="18" hidden="1" customHeight="1">
      <c r="A66" s="10">
        <v>65</v>
      </c>
      <c r="B66" s="11" t="s">
        <v>17</v>
      </c>
      <c r="C66" s="11" t="s">
        <v>18</v>
      </c>
      <c r="D66" s="11" t="s">
        <v>18</v>
      </c>
      <c r="E66" s="11" t="s">
        <v>32</v>
      </c>
      <c r="F66" s="11" t="s">
        <v>11</v>
      </c>
      <c r="G66" s="11"/>
    </row>
    <row r="67" spans="1:7" ht="18" hidden="1" customHeight="1">
      <c r="A67" s="4">
        <v>66</v>
      </c>
      <c r="B67" s="5" t="s">
        <v>197</v>
      </c>
      <c r="C67" s="5" t="s">
        <v>198</v>
      </c>
      <c r="D67" s="5" t="s">
        <v>198</v>
      </c>
      <c r="E67" s="5" t="s">
        <v>32</v>
      </c>
      <c r="F67" s="5" t="s">
        <v>11</v>
      </c>
      <c r="G67" s="5"/>
    </row>
    <row r="68" spans="1:7" ht="18" hidden="1" customHeight="1">
      <c r="A68" s="10">
        <v>67</v>
      </c>
      <c r="B68" s="11" t="s">
        <v>199</v>
      </c>
      <c r="C68" s="11" t="s">
        <v>200</v>
      </c>
      <c r="D68" s="11" t="s">
        <v>201</v>
      </c>
      <c r="E68" s="11" t="s">
        <v>32</v>
      </c>
      <c r="F68" s="11" t="s">
        <v>11</v>
      </c>
      <c r="G68" s="11"/>
    </row>
    <row r="69" spans="1:7" ht="18" hidden="1" customHeight="1">
      <c r="A69" s="4">
        <v>68</v>
      </c>
      <c r="B69" s="5" t="s">
        <v>202</v>
      </c>
      <c r="C69" s="5" t="s">
        <v>203</v>
      </c>
      <c r="D69" s="5" t="s">
        <v>204</v>
      </c>
      <c r="E69" s="5" t="s">
        <v>32</v>
      </c>
      <c r="F69" s="5" t="s">
        <v>11</v>
      </c>
      <c r="G69" s="5"/>
    </row>
    <row r="70" spans="1:7" ht="18" hidden="1" customHeight="1">
      <c r="A70" s="10">
        <v>69</v>
      </c>
      <c r="B70" s="11" t="s">
        <v>205</v>
      </c>
      <c r="C70" s="11" t="s">
        <v>206</v>
      </c>
      <c r="D70" s="11" t="s">
        <v>207</v>
      </c>
      <c r="E70" s="11" t="s">
        <v>32</v>
      </c>
      <c r="F70" s="11" t="s">
        <v>11</v>
      </c>
      <c r="G70" s="11"/>
    </row>
    <row r="71" spans="1:7" ht="18" hidden="1" customHeight="1">
      <c r="A71" s="4">
        <v>70</v>
      </c>
      <c r="B71" s="5" t="s">
        <v>208</v>
      </c>
      <c r="C71" s="5" t="s">
        <v>209</v>
      </c>
      <c r="D71" s="5" t="s">
        <v>210</v>
      </c>
      <c r="E71" s="5" t="s">
        <v>32</v>
      </c>
      <c r="F71" s="5" t="s">
        <v>11</v>
      </c>
      <c r="G71" s="5"/>
    </row>
    <row r="72" spans="1:7" ht="18" hidden="1" customHeight="1">
      <c r="A72" s="10">
        <v>71</v>
      </c>
      <c r="B72" s="11" t="s">
        <v>211</v>
      </c>
      <c r="C72" s="11" t="s">
        <v>212</v>
      </c>
      <c r="D72" s="11" t="s">
        <v>213</v>
      </c>
      <c r="E72" s="11" t="s">
        <v>32</v>
      </c>
      <c r="F72" s="11" t="s">
        <v>11</v>
      </c>
      <c r="G72" s="11"/>
    </row>
    <row r="73" spans="1:7" ht="18" hidden="1" customHeight="1">
      <c r="A73" s="4">
        <v>72</v>
      </c>
      <c r="B73" s="5" t="s">
        <v>214</v>
      </c>
      <c r="C73" s="5" t="s">
        <v>215</v>
      </c>
      <c r="D73" s="5" t="s">
        <v>216</v>
      </c>
      <c r="E73" s="5" t="s">
        <v>32</v>
      </c>
      <c r="F73" s="5" t="s">
        <v>11</v>
      </c>
      <c r="G73" s="5"/>
    </row>
    <row r="74" spans="1:7" ht="18" hidden="1" customHeight="1">
      <c r="A74" s="10">
        <v>73</v>
      </c>
      <c r="B74" s="11" t="s">
        <v>217</v>
      </c>
      <c r="C74" s="11" t="s">
        <v>218</v>
      </c>
      <c r="D74" s="11" t="s">
        <v>219</v>
      </c>
      <c r="E74" s="11" t="s">
        <v>32</v>
      </c>
      <c r="F74" s="11" t="s">
        <v>11</v>
      </c>
      <c r="G74" s="11"/>
    </row>
    <row r="75" spans="1:7" ht="18" hidden="1" customHeight="1">
      <c r="A75" s="4">
        <v>74</v>
      </c>
      <c r="B75" s="5" t="s">
        <v>220</v>
      </c>
      <c r="C75" s="5" t="s">
        <v>221</v>
      </c>
      <c r="D75" s="5" t="s">
        <v>222</v>
      </c>
      <c r="E75" s="5" t="s">
        <v>32</v>
      </c>
      <c r="F75" s="5" t="s">
        <v>11</v>
      </c>
      <c r="G75" s="5"/>
    </row>
    <row r="76" spans="1:7" ht="18" hidden="1" customHeight="1">
      <c r="A76" s="10">
        <v>75</v>
      </c>
      <c r="B76" s="11" t="s">
        <v>223</v>
      </c>
      <c r="C76" s="11" t="s">
        <v>224</v>
      </c>
      <c r="D76" s="11" t="s">
        <v>225</v>
      </c>
      <c r="E76" s="11" t="s">
        <v>32</v>
      </c>
      <c r="F76" s="11" t="s">
        <v>11</v>
      </c>
      <c r="G76" s="11"/>
    </row>
    <row r="77" spans="1:7" ht="18" hidden="1" customHeight="1">
      <c r="A77" s="4">
        <v>76</v>
      </c>
      <c r="B77" s="5" t="s">
        <v>226</v>
      </c>
      <c r="C77" s="5" t="s">
        <v>227</v>
      </c>
      <c r="D77" s="5" t="s">
        <v>228</v>
      </c>
      <c r="E77" s="5" t="s">
        <v>32</v>
      </c>
      <c r="F77" s="5" t="s">
        <v>11</v>
      </c>
      <c r="G77" s="5"/>
    </row>
    <row r="78" spans="1:7" ht="18" hidden="1" customHeight="1">
      <c r="A78" s="10">
        <v>77</v>
      </c>
      <c r="B78" s="11" t="s">
        <v>21</v>
      </c>
      <c r="C78" s="11" t="s">
        <v>22</v>
      </c>
      <c r="D78" s="11" t="s">
        <v>23</v>
      </c>
      <c r="E78" s="11" t="s">
        <v>32</v>
      </c>
      <c r="F78" s="11" t="s">
        <v>11</v>
      </c>
      <c r="G78" s="11"/>
    </row>
    <row r="79" spans="1:7" ht="18" hidden="1" customHeight="1">
      <c r="A79" s="4">
        <v>78</v>
      </c>
      <c r="B79" s="5" t="s">
        <v>229</v>
      </c>
      <c r="C79" s="5" t="s">
        <v>230</v>
      </c>
      <c r="D79" s="5" t="s">
        <v>231</v>
      </c>
      <c r="E79" s="5" t="s">
        <v>32</v>
      </c>
      <c r="F79" s="5" t="s">
        <v>11</v>
      </c>
      <c r="G79" s="5"/>
    </row>
    <row r="80" spans="1:7" ht="18" hidden="1" customHeight="1">
      <c r="A80" s="10">
        <v>79</v>
      </c>
      <c r="B80" s="11" t="s">
        <v>232</v>
      </c>
      <c r="C80" s="11" t="s">
        <v>233</v>
      </c>
      <c r="D80" s="11" t="s">
        <v>234</v>
      </c>
      <c r="E80" s="11" t="s">
        <v>32</v>
      </c>
      <c r="F80" s="11" t="s">
        <v>11</v>
      </c>
      <c r="G80" s="11"/>
    </row>
    <row r="81" spans="1:7" ht="18" hidden="1" customHeight="1">
      <c r="A81" s="4">
        <v>80</v>
      </c>
      <c r="B81" s="5" t="s">
        <v>235</v>
      </c>
      <c r="C81" s="5" t="s">
        <v>236</v>
      </c>
      <c r="D81" s="5" t="s">
        <v>237</v>
      </c>
      <c r="E81" s="5" t="s">
        <v>32</v>
      </c>
      <c r="F81" s="5" t="s">
        <v>11</v>
      </c>
      <c r="G81" s="5"/>
    </row>
    <row r="82" spans="1:7" ht="18" hidden="1" customHeight="1">
      <c r="A82" s="10">
        <v>81</v>
      </c>
      <c r="B82" s="11" t="s">
        <v>238</v>
      </c>
      <c r="C82" s="11" t="s">
        <v>239</v>
      </c>
      <c r="D82" s="11" t="s">
        <v>240</v>
      </c>
      <c r="E82" s="11" t="s">
        <v>32</v>
      </c>
      <c r="F82" s="11" t="s">
        <v>11</v>
      </c>
      <c r="G82" s="11"/>
    </row>
    <row r="83" spans="1:7" ht="18" hidden="1" customHeight="1">
      <c r="A83" s="4">
        <v>82</v>
      </c>
      <c r="B83" s="5" t="s">
        <v>241</v>
      </c>
      <c r="C83" s="5" t="s">
        <v>242</v>
      </c>
      <c r="D83" s="5" t="s">
        <v>243</v>
      </c>
      <c r="E83" s="5" t="s">
        <v>32</v>
      </c>
      <c r="F83" s="5" t="s">
        <v>11</v>
      </c>
      <c r="G83" s="5"/>
    </row>
    <row r="84" spans="1:7" ht="18" hidden="1" customHeight="1">
      <c r="A84" s="10">
        <v>83</v>
      </c>
      <c r="B84" s="11" t="s">
        <v>244</v>
      </c>
      <c r="C84" s="11" t="s">
        <v>245</v>
      </c>
      <c r="D84" s="11" t="s">
        <v>246</v>
      </c>
      <c r="E84" s="11" t="s">
        <v>32</v>
      </c>
      <c r="F84" s="11" t="s">
        <v>11</v>
      </c>
      <c r="G84" s="11"/>
    </row>
    <row r="85" spans="1:7" ht="18" hidden="1" customHeight="1">
      <c r="A85" s="4">
        <v>84</v>
      </c>
      <c r="B85" s="5" t="s">
        <v>247</v>
      </c>
      <c r="C85" s="5" t="s">
        <v>248</v>
      </c>
      <c r="D85" s="5" t="s">
        <v>249</v>
      </c>
      <c r="E85" s="5" t="s">
        <v>32</v>
      </c>
      <c r="F85" s="5" t="s">
        <v>11</v>
      </c>
      <c r="G85" s="5"/>
    </row>
    <row r="86" spans="1:7" ht="18" hidden="1" customHeight="1">
      <c r="A86" s="10">
        <v>85</v>
      </c>
      <c r="B86" s="11" t="s">
        <v>250</v>
      </c>
      <c r="C86" s="11" t="s">
        <v>251</v>
      </c>
      <c r="D86" s="11" t="s">
        <v>252</v>
      </c>
      <c r="E86" s="11" t="s">
        <v>32</v>
      </c>
      <c r="F86" s="11" t="s">
        <v>11</v>
      </c>
      <c r="G86" s="11"/>
    </row>
    <row r="87" spans="1:7" ht="18" hidden="1" customHeight="1">
      <c r="A87" s="4">
        <v>86</v>
      </c>
      <c r="B87" s="5" t="s">
        <v>253</v>
      </c>
      <c r="C87" s="5" t="s">
        <v>254</v>
      </c>
      <c r="D87" s="5" t="s">
        <v>255</v>
      </c>
      <c r="E87" s="5" t="s">
        <v>32</v>
      </c>
      <c r="F87" s="5" t="s">
        <v>11</v>
      </c>
      <c r="G87" s="5"/>
    </row>
    <row r="88" spans="1:7" ht="18" hidden="1" customHeight="1">
      <c r="A88" s="10">
        <v>87</v>
      </c>
      <c r="B88" s="11" t="s">
        <v>256</v>
      </c>
      <c r="C88" s="11" t="s">
        <v>257</v>
      </c>
      <c r="D88" s="11" t="s">
        <v>258</v>
      </c>
      <c r="E88" s="11" t="s">
        <v>32</v>
      </c>
      <c r="F88" s="11" t="s">
        <v>11</v>
      </c>
      <c r="G88" s="11"/>
    </row>
    <row r="89" spans="1:7" ht="18" hidden="1" customHeight="1">
      <c r="A89" s="4">
        <v>88</v>
      </c>
      <c r="B89" s="5" t="s">
        <v>259</v>
      </c>
      <c r="C89" s="5" t="s">
        <v>260</v>
      </c>
      <c r="D89" s="5" t="s">
        <v>261</v>
      </c>
      <c r="E89" s="5" t="s">
        <v>32</v>
      </c>
      <c r="F89" s="5" t="s">
        <v>11</v>
      </c>
      <c r="G89" s="5"/>
    </row>
    <row r="90" spans="1:7" ht="18" hidden="1" customHeight="1">
      <c r="A90" s="10">
        <v>89</v>
      </c>
      <c r="B90" s="11" t="s">
        <v>262</v>
      </c>
      <c r="C90" s="11" t="s">
        <v>263</v>
      </c>
      <c r="D90" s="11" t="s">
        <v>264</v>
      </c>
      <c r="E90" s="11" t="s">
        <v>32</v>
      </c>
      <c r="F90" s="11" t="s">
        <v>11</v>
      </c>
      <c r="G90" s="11"/>
    </row>
    <row r="91" spans="1:7" ht="18" hidden="1" customHeight="1">
      <c r="A91" s="4">
        <v>90</v>
      </c>
      <c r="B91" s="5" t="s">
        <v>265</v>
      </c>
      <c r="C91" s="5" t="s">
        <v>266</v>
      </c>
      <c r="D91" s="5" t="s">
        <v>267</v>
      </c>
      <c r="E91" s="5" t="s">
        <v>32</v>
      </c>
      <c r="F91" s="5" t="s">
        <v>11</v>
      </c>
      <c r="G91" s="5"/>
    </row>
    <row r="92" spans="1:7" ht="18" hidden="1" customHeight="1">
      <c r="A92" s="10">
        <v>91</v>
      </c>
      <c r="B92" s="11" t="s">
        <v>268</v>
      </c>
      <c r="C92" s="11" t="s">
        <v>269</v>
      </c>
      <c r="D92" s="11" t="s">
        <v>270</v>
      </c>
      <c r="E92" s="11" t="s">
        <v>32</v>
      </c>
      <c r="F92" s="11" t="s">
        <v>11</v>
      </c>
      <c r="G92" s="11"/>
    </row>
    <row r="93" spans="1:7" ht="18" hidden="1" customHeight="1">
      <c r="A93" s="4">
        <v>92</v>
      </c>
      <c r="B93" s="5" t="s">
        <v>271</v>
      </c>
      <c r="C93" s="5" t="s">
        <v>272</v>
      </c>
      <c r="D93" s="5" t="s">
        <v>273</v>
      </c>
      <c r="E93" s="5" t="s">
        <v>32</v>
      </c>
      <c r="F93" s="5" t="s">
        <v>11</v>
      </c>
      <c r="G93" s="5"/>
    </row>
    <row r="94" spans="1:7" ht="18" hidden="1" customHeight="1">
      <c r="A94" s="10">
        <v>93</v>
      </c>
      <c r="B94" s="11" t="s">
        <v>274</v>
      </c>
      <c r="C94" s="11" t="s">
        <v>275</v>
      </c>
      <c r="D94" s="11" t="s">
        <v>276</v>
      </c>
      <c r="E94" s="11" t="s">
        <v>32</v>
      </c>
      <c r="F94" s="11" t="s">
        <v>11</v>
      </c>
      <c r="G94" s="11"/>
    </row>
    <row r="95" spans="1:7" ht="18" hidden="1" customHeight="1">
      <c r="A95" s="4">
        <v>94</v>
      </c>
      <c r="B95" s="5" t="s">
        <v>277</v>
      </c>
      <c r="C95" s="5" t="s">
        <v>278</v>
      </c>
      <c r="D95" s="5" t="s">
        <v>278</v>
      </c>
      <c r="E95" s="5" t="s">
        <v>32</v>
      </c>
      <c r="F95" s="5" t="s">
        <v>11</v>
      </c>
      <c r="G95" s="5"/>
    </row>
    <row r="96" spans="1:7" ht="18" hidden="1" customHeight="1">
      <c r="A96" s="10">
        <v>95</v>
      </c>
      <c r="B96" s="11" t="s">
        <v>279</v>
      </c>
      <c r="C96" s="11" t="s">
        <v>280</v>
      </c>
      <c r="D96" s="11" t="s">
        <v>281</v>
      </c>
      <c r="E96" s="11" t="s">
        <v>32</v>
      </c>
      <c r="F96" s="11" t="s">
        <v>11</v>
      </c>
      <c r="G96" s="11"/>
    </row>
    <row r="97" spans="1:7" ht="18" hidden="1" customHeight="1">
      <c r="A97" s="4">
        <v>96</v>
      </c>
      <c r="B97" s="5" t="s">
        <v>282</v>
      </c>
      <c r="C97" s="5" t="s">
        <v>283</v>
      </c>
      <c r="D97" s="5" t="s">
        <v>284</v>
      </c>
      <c r="E97" s="5" t="s">
        <v>32</v>
      </c>
      <c r="F97" s="5" t="s">
        <v>11</v>
      </c>
      <c r="G97" s="5"/>
    </row>
    <row r="98" spans="1:7" ht="18" hidden="1" customHeight="1">
      <c r="A98" s="10">
        <v>97</v>
      </c>
      <c r="B98" s="11" t="s">
        <v>285</v>
      </c>
      <c r="C98" s="11" t="s">
        <v>286</v>
      </c>
      <c r="D98" s="11" t="s">
        <v>287</v>
      </c>
      <c r="E98" s="11" t="s">
        <v>32</v>
      </c>
      <c r="F98" s="11" t="s">
        <v>11</v>
      </c>
      <c r="G98" s="11"/>
    </row>
    <row r="99" spans="1:7" ht="18" hidden="1" customHeight="1">
      <c r="A99" s="4">
        <v>98</v>
      </c>
      <c r="B99" s="5" t="s">
        <v>288</v>
      </c>
      <c r="C99" s="5" t="s">
        <v>289</v>
      </c>
      <c r="D99" s="5" t="s">
        <v>290</v>
      </c>
      <c r="E99" s="5" t="s">
        <v>32</v>
      </c>
      <c r="F99" s="5" t="s">
        <v>11</v>
      </c>
      <c r="G99" s="5"/>
    </row>
    <row r="100" spans="1:7" ht="18" hidden="1" customHeight="1">
      <c r="A100" s="10">
        <v>99</v>
      </c>
      <c r="B100" s="11" t="s">
        <v>291</v>
      </c>
      <c r="C100" s="11" t="s">
        <v>292</v>
      </c>
      <c r="D100" s="11" t="s">
        <v>293</v>
      </c>
      <c r="E100" s="11" t="s">
        <v>32</v>
      </c>
      <c r="F100" s="11" t="s">
        <v>11</v>
      </c>
      <c r="G100" s="11"/>
    </row>
    <row r="101" spans="1:7" ht="18" hidden="1" customHeight="1">
      <c r="A101" s="4">
        <v>100</v>
      </c>
      <c r="B101" s="5" t="s">
        <v>294</v>
      </c>
      <c r="C101" s="5" t="s">
        <v>295</v>
      </c>
      <c r="D101" s="5" t="s">
        <v>296</v>
      </c>
      <c r="E101" s="5" t="s">
        <v>32</v>
      </c>
      <c r="F101" s="5" t="s">
        <v>11</v>
      </c>
      <c r="G101" s="5"/>
    </row>
    <row r="102" spans="1:7" ht="18" hidden="1" customHeight="1">
      <c r="A102" s="10">
        <v>101</v>
      </c>
      <c r="B102" s="11" t="s">
        <v>297</v>
      </c>
      <c r="C102" s="11" t="s">
        <v>298</v>
      </c>
      <c r="D102" s="11" t="s">
        <v>299</v>
      </c>
      <c r="E102" s="11" t="s">
        <v>32</v>
      </c>
      <c r="F102" s="11" t="s">
        <v>11</v>
      </c>
      <c r="G102" s="11"/>
    </row>
    <row r="103" spans="1:7" ht="18" hidden="1" customHeight="1">
      <c r="A103" s="4">
        <v>102</v>
      </c>
      <c r="B103" s="5" t="s">
        <v>300</v>
      </c>
      <c r="C103" s="5" t="s">
        <v>301</v>
      </c>
      <c r="D103" s="5" t="s">
        <v>302</v>
      </c>
      <c r="E103" s="5" t="s">
        <v>32</v>
      </c>
      <c r="F103" s="5" t="s">
        <v>11</v>
      </c>
      <c r="G103" s="5"/>
    </row>
    <row r="104" spans="1:7" ht="18" hidden="1" customHeight="1">
      <c r="A104" s="10">
        <v>103</v>
      </c>
      <c r="B104" s="11" t="s">
        <v>303</v>
      </c>
      <c r="C104" s="11" t="s">
        <v>304</v>
      </c>
      <c r="D104" s="11" t="s">
        <v>305</v>
      </c>
      <c r="E104" s="11" t="s">
        <v>32</v>
      </c>
      <c r="F104" s="11" t="s">
        <v>11</v>
      </c>
      <c r="G104" s="11"/>
    </row>
    <row r="105" spans="1:7" ht="18" hidden="1" customHeight="1">
      <c r="A105" s="4">
        <v>104</v>
      </c>
      <c r="B105" s="5" t="s">
        <v>306</v>
      </c>
      <c r="C105" s="5" t="s">
        <v>307</v>
      </c>
      <c r="D105" s="5" t="s">
        <v>307</v>
      </c>
      <c r="E105" s="5" t="s">
        <v>32</v>
      </c>
      <c r="F105" s="5" t="s">
        <v>11</v>
      </c>
      <c r="G105" s="5"/>
    </row>
    <row r="106" spans="1:7" ht="18" hidden="1" customHeight="1">
      <c r="A106" s="10">
        <v>105</v>
      </c>
      <c r="B106" s="11" t="s">
        <v>308</v>
      </c>
      <c r="C106" s="11" t="s">
        <v>309</v>
      </c>
      <c r="D106" s="11" t="s">
        <v>310</v>
      </c>
      <c r="E106" s="11" t="s">
        <v>32</v>
      </c>
      <c r="F106" s="11" t="s">
        <v>11</v>
      </c>
      <c r="G106" s="11"/>
    </row>
    <row r="107" spans="1:7" ht="18" hidden="1" customHeight="1">
      <c r="A107" s="4">
        <v>106</v>
      </c>
      <c r="B107" s="5" t="s">
        <v>311</v>
      </c>
      <c r="C107" s="5" t="s">
        <v>312</v>
      </c>
      <c r="D107" s="5" t="s">
        <v>313</v>
      </c>
      <c r="E107" s="5" t="s">
        <v>32</v>
      </c>
      <c r="F107" s="5" t="s">
        <v>11</v>
      </c>
      <c r="G107" s="5"/>
    </row>
    <row r="108" spans="1:7" ht="18" hidden="1" customHeight="1">
      <c r="A108" s="12">
        <v>107</v>
      </c>
      <c r="B108" s="13" t="s">
        <v>314</v>
      </c>
      <c r="C108" s="13" t="s">
        <v>315</v>
      </c>
      <c r="D108" s="13" t="s">
        <v>316</v>
      </c>
      <c r="E108" s="13" t="s">
        <v>317</v>
      </c>
      <c r="F108" s="13" t="s">
        <v>318</v>
      </c>
      <c r="G108" s="13"/>
    </row>
    <row r="109" spans="1:7" ht="18" hidden="1" customHeight="1">
      <c r="A109" s="4">
        <v>108</v>
      </c>
      <c r="B109" s="5" t="s">
        <v>314</v>
      </c>
      <c r="C109" s="5" t="s">
        <v>315</v>
      </c>
      <c r="D109" s="5" t="s">
        <v>316</v>
      </c>
      <c r="E109" s="5" t="s">
        <v>317</v>
      </c>
      <c r="F109" s="5" t="s">
        <v>11</v>
      </c>
      <c r="G109" s="5"/>
    </row>
    <row r="110" spans="1:7" ht="18" hidden="1" customHeight="1">
      <c r="A110" s="12">
        <v>109</v>
      </c>
      <c r="B110" s="13" t="s">
        <v>314</v>
      </c>
      <c r="C110" s="13" t="s">
        <v>315</v>
      </c>
      <c r="D110" s="13" t="s">
        <v>316</v>
      </c>
      <c r="E110" s="13" t="s">
        <v>317</v>
      </c>
      <c r="F110" s="13" t="s">
        <v>11</v>
      </c>
      <c r="G110" s="13"/>
    </row>
    <row r="111" spans="1:7" ht="18" hidden="1" customHeight="1">
      <c r="A111" s="4">
        <v>110</v>
      </c>
      <c r="B111" s="5" t="s">
        <v>29</v>
      </c>
      <c r="C111" s="5" t="s">
        <v>30</v>
      </c>
      <c r="D111" s="5" t="s">
        <v>31</v>
      </c>
      <c r="E111" s="5" t="s">
        <v>317</v>
      </c>
      <c r="F111" s="5" t="s">
        <v>319</v>
      </c>
      <c r="G111" s="5"/>
    </row>
    <row r="112" spans="1:7" ht="18" hidden="1" customHeight="1">
      <c r="A112" s="12">
        <v>111</v>
      </c>
      <c r="B112" s="13" t="s">
        <v>33</v>
      </c>
      <c r="C112" s="13" t="s">
        <v>34</v>
      </c>
      <c r="D112" s="13" t="s">
        <v>35</v>
      </c>
      <c r="E112" s="13" t="s">
        <v>317</v>
      </c>
      <c r="F112" s="13" t="s">
        <v>320</v>
      </c>
      <c r="G112" s="13"/>
    </row>
    <row r="113" spans="1:7" ht="18" hidden="1" customHeight="1">
      <c r="A113" s="4">
        <v>112</v>
      </c>
      <c r="B113" s="5" t="s">
        <v>36</v>
      </c>
      <c r="C113" s="5" t="s">
        <v>37</v>
      </c>
      <c r="D113" s="5" t="s">
        <v>38</v>
      </c>
      <c r="E113" s="5" t="s">
        <v>317</v>
      </c>
      <c r="F113" s="5" t="s">
        <v>321</v>
      </c>
      <c r="G113" s="5"/>
    </row>
    <row r="114" spans="1:7" ht="18" hidden="1" customHeight="1">
      <c r="A114" s="12">
        <v>113</v>
      </c>
      <c r="B114" s="13" t="s">
        <v>26</v>
      </c>
      <c r="C114" s="13" t="s">
        <v>27</v>
      </c>
      <c r="D114" s="13" t="s">
        <v>27</v>
      </c>
      <c r="E114" s="13" t="s">
        <v>317</v>
      </c>
      <c r="F114" s="13" t="s">
        <v>322</v>
      </c>
      <c r="G114" s="13"/>
    </row>
    <row r="115" spans="1:7" ht="18" hidden="1" customHeight="1">
      <c r="A115" s="4">
        <v>114</v>
      </c>
      <c r="B115" s="5" t="s">
        <v>323</v>
      </c>
      <c r="C115" s="5" t="s">
        <v>324</v>
      </c>
      <c r="D115" s="5" t="s">
        <v>325</v>
      </c>
      <c r="E115" s="5" t="s">
        <v>317</v>
      </c>
      <c r="F115" s="5" t="s">
        <v>326</v>
      </c>
      <c r="G115" s="5"/>
    </row>
    <row r="116" spans="1:7" ht="18" hidden="1" customHeight="1">
      <c r="A116" s="12">
        <v>115</v>
      </c>
      <c r="B116" s="13" t="s">
        <v>327</v>
      </c>
      <c r="C116" s="13" t="s">
        <v>328</v>
      </c>
      <c r="D116" s="13" t="s">
        <v>329</v>
      </c>
      <c r="E116" s="13" t="s">
        <v>317</v>
      </c>
      <c r="F116" s="13" t="s">
        <v>330</v>
      </c>
      <c r="G116" s="13"/>
    </row>
    <row r="117" spans="1:7" ht="18" hidden="1" customHeight="1">
      <c r="A117" s="4">
        <v>116</v>
      </c>
      <c r="B117" s="5" t="s">
        <v>39</v>
      </c>
      <c r="C117" s="5" t="s">
        <v>40</v>
      </c>
      <c r="D117" s="5" t="s">
        <v>41</v>
      </c>
      <c r="E117" s="5" t="s">
        <v>317</v>
      </c>
      <c r="F117" s="5" t="s">
        <v>331</v>
      </c>
      <c r="G117" s="5"/>
    </row>
    <row r="118" spans="1:7" ht="18" hidden="1" customHeight="1">
      <c r="A118" s="12">
        <v>117</v>
      </c>
      <c r="B118" s="13" t="s">
        <v>332</v>
      </c>
      <c r="C118" s="13" t="s">
        <v>333</v>
      </c>
      <c r="D118" s="13" t="s">
        <v>333</v>
      </c>
      <c r="E118" s="13" t="s">
        <v>317</v>
      </c>
      <c r="F118" s="13" t="s">
        <v>334</v>
      </c>
      <c r="G118" s="13"/>
    </row>
    <row r="119" spans="1:7" ht="18" hidden="1" customHeight="1">
      <c r="A119" s="4">
        <v>118</v>
      </c>
      <c r="B119" s="5" t="s">
        <v>42</v>
      </c>
      <c r="C119" s="5" t="s">
        <v>43</v>
      </c>
      <c r="D119" s="5" t="s">
        <v>44</v>
      </c>
      <c r="E119" s="5" t="s">
        <v>317</v>
      </c>
      <c r="F119" s="5" t="s">
        <v>335</v>
      </c>
      <c r="G119" s="5"/>
    </row>
    <row r="120" spans="1:7" ht="18" hidden="1" customHeight="1">
      <c r="A120" s="12">
        <v>119</v>
      </c>
      <c r="B120" s="13" t="s">
        <v>42</v>
      </c>
      <c r="C120" s="13" t="s">
        <v>43</v>
      </c>
      <c r="D120" s="13" t="s">
        <v>44</v>
      </c>
      <c r="E120" s="13" t="s">
        <v>317</v>
      </c>
      <c r="F120" s="13" t="s">
        <v>11</v>
      </c>
      <c r="G120" s="13"/>
    </row>
    <row r="121" spans="1:7" ht="18" hidden="1" customHeight="1">
      <c r="A121" s="4">
        <v>120</v>
      </c>
      <c r="B121" s="5" t="s">
        <v>336</v>
      </c>
      <c r="C121" s="5" t="s">
        <v>337</v>
      </c>
      <c r="D121" s="5" t="s">
        <v>338</v>
      </c>
      <c r="E121" s="5" t="s">
        <v>317</v>
      </c>
      <c r="F121" s="5" t="s">
        <v>339</v>
      </c>
      <c r="G121" s="5"/>
    </row>
    <row r="122" spans="1:7" ht="18" hidden="1" customHeight="1">
      <c r="A122" s="12">
        <v>121</v>
      </c>
      <c r="B122" s="13" t="s">
        <v>45</v>
      </c>
      <c r="C122" s="13" t="s">
        <v>46</v>
      </c>
      <c r="D122" s="13" t="s">
        <v>47</v>
      </c>
      <c r="E122" s="13" t="s">
        <v>317</v>
      </c>
      <c r="F122" s="13" t="s">
        <v>340</v>
      </c>
      <c r="G122" s="13"/>
    </row>
    <row r="123" spans="1:7" ht="18" hidden="1" customHeight="1">
      <c r="A123" s="4">
        <v>122</v>
      </c>
      <c r="B123" s="5" t="s">
        <v>341</v>
      </c>
      <c r="C123" s="5" t="s">
        <v>342</v>
      </c>
      <c r="D123" s="5" t="s">
        <v>343</v>
      </c>
      <c r="E123" s="5" t="s">
        <v>317</v>
      </c>
      <c r="F123" s="5" t="s">
        <v>344</v>
      </c>
      <c r="G123" s="5"/>
    </row>
    <row r="124" spans="1:7" ht="18" hidden="1" customHeight="1">
      <c r="A124" s="12">
        <v>123</v>
      </c>
      <c r="B124" s="13" t="s">
        <v>48</v>
      </c>
      <c r="C124" s="13" t="s">
        <v>49</v>
      </c>
      <c r="D124" s="13" t="s">
        <v>50</v>
      </c>
      <c r="E124" s="13" t="s">
        <v>317</v>
      </c>
      <c r="F124" s="13" t="s">
        <v>345</v>
      </c>
      <c r="G124" s="13"/>
    </row>
    <row r="125" spans="1:7" ht="18" hidden="1" customHeight="1">
      <c r="A125" s="4">
        <v>124</v>
      </c>
      <c r="B125" s="5" t="s">
        <v>51</v>
      </c>
      <c r="C125" s="5" t="s">
        <v>52</v>
      </c>
      <c r="D125" s="5" t="s">
        <v>53</v>
      </c>
      <c r="E125" s="5" t="s">
        <v>317</v>
      </c>
      <c r="F125" s="5" t="s">
        <v>346</v>
      </c>
      <c r="G125" s="5"/>
    </row>
    <row r="126" spans="1:7" ht="18" hidden="1" customHeight="1">
      <c r="A126" s="12">
        <v>125</v>
      </c>
      <c r="B126" s="13" t="s">
        <v>54</v>
      </c>
      <c r="C126" s="13" t="s">
        <v>55</v>
      </c>
      <c r="D126" s="13" t="s">
        <v>56</v>
      </c>
      <c r="E126" s="13" t="s">
        <v>317</v>
      </c>
      <c r="F126" s="13" t="s">
        <v>347</v>
      </c>
      <c r="G126" s="13"/>
    </row>
    <row r="127" spans="1:7" ht="18" hidden="1" customHeight="1">
      <c r="A127" s="4">
        <v>126</v>
      </c>
      <c r="B127" s="5" t="s">
        <v>57</v>
      </c>
      <c r="C127" s="5" t="s">
        <v>58</v>
      </c>
      <c r="D127" s="5" t="s">
        <v>59</v>
      </c>
      <c r="E127" s="5" t="s">
        <v>317</v>
      </c>
      <c r="F127" s="5" t="s">
        <v>348</v>
      </c>
      <c r="G127" s="5"/>
    </row>
    <row r="128" spans="1:7" ht="18" hidden="1" customHeight="1">
      <c r="A128" s="12">
        <v>127</v>
      </c>
      <c r="B128" s="13" t="s">
        <v>60</v>
      </c>
      <c r="C128" s="13" t="s">
        <v>61</v>
      </c>
      <c r="D128" s="13" t="s">
        <v>62</v>
      </c>
      <c r="E128" s="13" t="s">
        <v>317</v>
      </c>
      <c r="F128" s="13" t="s">
        <v>349</v>
      </c>
      <c r="G128" s="13"/>
    </row>
    <row r="129" spans="1:7" ht="18" hidden="1" customHeight="1">
      <c r="A129" s="4">
        <v>128</v>
      </c>
      <c r="B129" s="5" t="s">
        <v>350</v>
      </c>
      <c r="C129" s="5" t="s">
        <v>351</v>
      </c>
      <c r="D129" s="5" t="s">
        <v>352</v>
      </c>
      <c r="E129" s="5" t="s">
        <v>317</v>
      </c>
      <c r="F129" s="5" t="s">
        <v>353</v>
      </c>
      <c r="G129" s="5"/>
    </row>
    <row r="130" spans="1:7" ht="18" hidden="1" customHeight="1">
      <c r="A130" s="12">
        <v>129</v>
      </c>
      <c r="B130" s="13" t="s">
        <v>354</v>
      </c>
      <c r="C130" s="13" t="s">
        <v>355</v>
      </c>
      <c r="D130" s="13" t="s">
        <v>356</v>
      </c>
      <c r="E130" s="13" t="s">
        <v>317</v>
      </c>
      <c r="F130" s="13" t="s">
        <v>357</v>
      </c>
      <c r="G130" s="13"/>
    </row>
    <row r="131" spans="1:7" ht="18" hidden="1" customHeight="1">
      <c r="A131" s="4">
        <v>130</v>
      </c>
      <c r="B131" s="5" t="s">
        <v>358</v>
      </c>
      <c r="C131" s="5" t="s">
        <v>359</v>
      </c>
      <c r="D131" s="5" t="s">
        <v>360</v>
      </c>
      <c r="E131" s="5" t="s">
        <v>317</v>
      </c>
      <c r="F131" s="5" t="s">
        <v>361</v>
      </c>
      <c r="G131" s="5"/>
    </row>
    <row r="132" spans="1:7" ht="18" hidden="1" customHeight="1">
      <c r="A132" s="12">
        <v>131</v>
      </c>
      <c r="B132" s="13" t="s">
        <v>63</v>
      </c>
      <c r="C132" s="13" t="s">
        <v>64</v>
      </c>
      <c r="D132" s="13" t="s">
        <v>65</v>
      </c>
      <c r="E132" s="13" t="s">
        <v>317</v>
      </c>
      <c r="F132" s="13" t="s">
        <v>362</v>
      </c>
      <c r="G132" s="13"/>
    </row>
    <row r="133" spans="1:7" ht="18" hidden="1" customHeight="1">
      <c r="A133" s="4">
        <v>132</v>
      </c>
      <c r="B133" s="5" t="s">
        <v>363</v>
      </c>
      <c r="C133" s="5" t="s">
        <v>364</v>
      </c>
      <c r="D133" s="5" t="s">
        <v>365</v>
      </c>
      <c r="E133" s="5" t="s">
        <v>317</v>
      </c>
      <c r="F133" s="5" t="s">
        <v>366</v>
      </c>
      <c r="G133" s="5"/>
    </row>
    <row r="134" spans="1:7" ht="18" hidden="1" customHeight="1">
      <c r="A134" s="12">
        <v>133</v>
      </c>
      <c r="B134" s="13" t="s">
        <v>66</v>
      </c>
      <c r="C134" s="13" t="s">
        <v>67</v>
      </c>
      <c r="D134" s="13" t="s">
        <v>68</v>
      </c>
      <c r="E134" s="13" t="s">
        <v>317</v>
      </c>
      <c r="F134" s="13" t="s">
        <v>367</v>
      </c>
      <c r="G134" s="13"/>
    </row>
    <row r="135" spans="1:7" ht="18" hidden="1" customHeight="1">
      <c r="A135" s="4">
        <v>134</v>
      </c>
      <c r="B135" s="5" t="s">
        <v>368</v>
      </c>
      <c r="C135" s="5" t="s">
        <v>369</v>
      </c>
      <c r="D135" s="5" t="s">
        <v>369</v>
      </c>
      <c r="E135" s="5" t="s">
        <v>317</v>
      </c>
      <c r="F135" s="5" t="s">
        <v>370</v>
      </c>
      <c r="G135" s="5"/>
    </row>
    <row r="136" spans="1:7" ht="18" hidden="1" customHeight="1">
      <c r="A136" s="12">
        <v>135</v>
      </c>
      <c r="B136" s="13" t="s">
        <v>69</v>
      </c>
      <c r="C136" s="13" t="s">
        <v>70</v>
      </c>
      <c r="D136" s="13" t="s">
        <v>71</v>
      </c>
      <c r="E136" s="13" t="s">
        <v>317</v>
      </c>
      <c r="F136" s="13" t="s">
        <v>371</v>
      </c>
      <c r="G136" s="13"/>
    </row>
    <row r="137" spans="1:7" ht="18" hidden="1" customHeight="1">
      <c r="A137" s="4">
        <v>136</v>
      </c>
      <c r="B137" s="5" t="s">
        <v>372</v>
      </c>
      <c r="C137" s="5" t="s">
        <v>373</v>
      </c>
      <c r="D137" s="5" t="s">
        <v>374</v>
      </c>
      <c r="E137" s="5" t="s">
        <v>317</v>
      </c>
      <c r="F137" s="5" t="s">
        <v>375</v>
      </c>
      <c r="G137" s="5"/>
    </row>
    <row r="138" spans="1:7" ht="18" hidden="1" customHeight="1">
      <c r="A138" s="12">
        <v>137</v>
      </c>
      <c r="B138" s="13" t="s">
        <v>376</v>
      </c>
      <c r="C138" s="13" t="s">
        <v>377</v>
      </c>
      <c r="D138" s="13" t="s">
        <v>378</v>
      </c>
      <c r="E138" s="13" t="s">
        <v>317</v>
      </c>
      <c r="F138" s="13" t="s">
        <v>379</v>
      </c>
      <c r="G138" s="13"/>
    </row>
    <row r="139" spans="1:7" ht="18" hidden="1" customHeight="1">
      <c r="A139" s="4">
        <v>138</v>
      </c>
      <c r="B139" s="5" t="s">
        <v>72</v>
      </c>
      <c r="C139" s="5" t="s">
        <v>73</v>
      </c>
      <c r="D139" s="5" t="s">
        <v>74</v>
      </c>
      <c r="E139" s="5" t="s">
        <v>317</v>
      </c>
      <c r="F139" s="5" t="s">
        <v>380</v>
      </c>
      <c r="G139" s="5"/>
    </row>
    <row r="140" spans="1:7" ht="18" hidden="1" customHeight="1">
      <c r="A140" s="12">
        <v>139</v>
      </c>
      <c r="B140" s="13" t="s">
        <v>75</v>
      </c>
      <c r="C140" s="13" t="s">
        <v>76</v>
      </c>
      <c r="D140" s="13" t="s">
        <v>76</v>
      </c>
      <c r="E140" s="13" t="s">
        <v>317</v>
      </c>
      <c r="F140" s="13" t="s">
        <v>381</v>
      </c>
      <c r="G140" s="13"/>
    </row>
    <row r="141" spans="1:7" ht="18" hidden="1" customHeight="1">
      <c r="A141" s="4">
        <v>140</v>
      </c>
      <c r="B141" s="5" t="s">
        <v>77</v>
      </c>
      <c r="C141" s="5" t="s">
        <v>78</v>
      </c>
      <c r="D141" s="5" t="s">
        <v>79</v>
      </c>
      <c r="E141" s="5" t="s">
        <v>317</v>
      </c>
      <c r="F141" s="5" t="s">
        <v>382</v>
      </c>
      <c r="G141" s="5"/>
    </row>
    <row r="142" spans="1:7" ht="18" hidden="1" customHeight="1">
      <c r="A142" s="12">
        <v>141</v>
      </c>
      <c r="B142" s="13" t="s">
        <v>80</v>
      </c>
      <c r="C142" s="13" t="s">
        <v>81</v>
      </c>
      <c r="D142" s="13" t="s">
        <v>82</v>
      </c>
      <c r="E142" s="13" t="s">
        <v>317</v>
      </c>
      <c r="F142" s="13" t="s">
        <v>383</v>
      </c>
      <c r="G142" s="13"/>
    </row>
    <row r="143" spans="1:7" ht="18" hidden="1" customHeight="1">
      <c r="A143" s="4">
        <v>142</v>
      </c>
      <c r="B143" s="5" t="s">
        <v>83</v>
      </c>
      <c r="C143" s="5" t="s">
        <v>84</v>
      </c>
      <c r="D143" s="5" t="s">
        <v>85</v>
      </c>
      <c r="E143" s="5" t="s">
        <v>317</v>
      </c>
      <c r="F143" s="5" t="s">
        <v>384</v>
      </c>
      <c r="G143" s="5"/>
    </row>
    <row r="144" spans="1:7" ht="18" hidden="1" customHeight="1">
      <c r="A144" s="12">
        <v>143</v>
      </c>
      <c r="B144" s="13" t="s">
        <v>7</v>
      </c>
      <c r="C144" s="13" t="s">
        <v>8</v>
      </c>
      <c r="D144" s="13" t="s">
        <v>9</v>
      </c>
      <c r="E144" s="13" t="s">
        <v>317</v>
      </c>
      <c r="F144" s="13" t="s">
        <v>385</v>
      </c>
      <c r="G144" s="13"/>
    </row>
    <row r="145" spans="1:7" ht="18" hidden="1" customHeight="1">
      <c r="A145" s="4">
        <v>144</v>
      </c>
      <c r="B145" s="5" t="s">
        <v>86</v>
      </c>
      <c r="C145" s="5" t="s">
        <v>87</v>
      </c>
      <c r="D145" s="5" t="s">
        <v>88</v>
      </c>
      <c r="E145" s="5" t="s">
        <v>317</v>
      </c>
      <c r="F145" s="5" t="s">
        <v>386</v>
      </c>
      <c r="G145" s="5"/>
    </row>
    <row r="146" spans="1:7" ht="18" hidden="1" customHeight="1">
      <c r="A146" s="12">
        <v>145</v>
      </c>
      <c r="B146" s="13" t="s">
        <v>387</v>
      </c>
      <c r="C146" s="13" t="s">
        <v>388</v>
      </c>
      <c r="D146" s="13" t="s">
        <v>389</v>
      </c>
      <c r="E146" s="13" t="s">
        <v>317</v>
      </c>
      <c r="F146" s="13" t="s">
        <v>390</v>
      </c>
      <c r="G146" s="13"/>
    </row>
    <row r="147" spans="1:7" ht="18" hidden="1" customHeight="1">
      <c r="A147" s="4">
        <v>146</v>
      </c>
      <c r="B147" s="5" t="s">
        <v>391</v>
      </c>
      <c r="C147" s="5" t="s">
        <v>392</v>
      </c>
      <c r="D147" s="5" t="s">
        <v>393</v>
      </c>
      <c r="E147" s="5" t="s">
        <v>317</v>
      </c>
      <c r="F147" s="5" t="s">
        <v>394</v>
      </c>
      <c r="G147" s="5"/>
    </row>
    <row r="148" spans="1:7" ht="18" hidden="1" customHeight="1">
      <c r="A148" s="12">
        <v>147</v>
      </c>
      <c r="B148" s="13" t="s">
        <v>395</v>
      </c>
      <c r="C148" s="13" t="s">
        <v>396</v>
      </c>
      <c r="D148" s="13" t="s">
        <v>397</v>
      </c>
      <c r="E148" s="13" t="s">
        <v>317</v>
      </c>
      <c r="F148" s="13" t="s">
        <v>398</v>
      </c>
      <c r="G148" s="13"/>
    </row>
    <row r="149" spans="1:7" ht="18" hidden="1" customHeight="1">
      <c r="A149" s="4">
        <v>148</v>
      </c>
      <c r="B149" s="5" t="s">
        <v>89</v>
      </c>
      <c r="C149" s="5" t="s">
        <v>90</v>
      </c>
      <c r="D149" s="5" t="s">
        <v>91</v>
      </c>
      <c r="E149" s="5" t="s">
        <v>317</v>
      </c>
      <c r="F149" s="5" t="s">
        <v>399</v>
      </c>
      <c r="G149" s="5"/>
    </row>
    <row r="150" spans="1:7" ht="18" hidden="1" customHeight="1">
      <c r="A150" s="12">
        <v>149</v>
      </c>
      <c r="B150" s="13" t="s">
        <v>92</v>
      </c>
      <c r="C150" s="13" t="s">
        <v>93</v>
      </c>
      <c r="D150" s="13" t="s">
        <v>94</v>
      </c>
      <c r="E150" s="13" t="s">
        <v>317</v>
      </c>
      <c r="F150" s="13" t="s">
        <v>400</v>
      </c>
      <c r="G150" s="13"/>
    </row>
    <row r="151" spans="1:7" ht="18" hidden="1" customHeight="1">
      <c r="A151" s="4">
        <v>150</v>
      </c>
      <c r="B151" s="5" t="s">
        <v>95</v>
      </c>
      <c r="C151" s="5" t="s">
        <v>96</v>
      </c>
      <c r="D151" s="5" t="s">
        <v>97</v>
      </c>
      <c r="E151" s="5" t="s">
        <v>317</v>
      </c>
      <c r="F151" s="5" t="s">
        <v>401</v>
      </c>
      <c r="G151" s="5"/>
    </row>
    <row r="152" spans="1:7" ht="18" hidden="1" customHeight="1">
      <c r="A152" s="12">
        <v>151</v>
      </c>
      <c r="B152" s="13" t="s">
        <v>12</v>
      </c>
      <c r="C152" s="13" t="s">
        <v>13</v>
      </c>
      <c r="D152" s="13" t="s">
        <v>14</v>
      </c>
      <c r="E152" s="13" t="s">
        <v>317</v>
      </c>
      <c r="F152" s="13" t="s">
        <v>402</v>
      </c>
      <c r="G152" s="13"/>
    </row>
    <row r="153" spans="1:7" ht="18" hidden="1" customHeight="1">
      <c r="A153" s="4">
        <v>152</v>
      </c>
      <c r="B153" s="5" t="s">
        <v>98</v>
      </c>
      <c r="C153" s="5" t="s">
        <v>99</v>
      </c>
      <c r="D153" s="5" t="s">
        <v>100</v>
      </c>
      <c r="E153" s="5" t="s">
        <v>317</v>
      </c>
      <c r="F153" s="5" t="s">
        <v>403</v>
      </c>
      <c r="G153" s="5"/>
    </row>
    <row r="154" spans="1:7" ht="18" hidden="1" customHeight="1">
      <c r="A154" s="12">
        <v>153</v>
      </c>
      <c r="B154" s="13" t="s">
        <v>101</v>
      </c>
      <c r="C154" s="13" t="s">
        <v>102</v>
      </c>
      <c r="D154" s="13" t="s">
        <v>103</v>
      </c>
      <c r="E154" s="13" t="s">
        <v>317</v>
      </c>
      <c r="F154" s="13" t="s">
        <v>404</v>
      </c>
      <c r="G154" s="13"/>
    </row>
    <row r="155" spans="1:7" ht="18" hidden="1" customHeight="1">
      <c r="A155" s="4">
        <v>154</v>
      </c>
      <c r="B155" s="5" t="s">
        <v>101</v>
      </c>
      <c r="C155" s="5" t="s">
        <v>102</v>
      </c>
      <c r="D155" s="5" t="s">
        <v>103</v>
      </c>
      <c r="E155" s="5" t="s">
        <v>317</v>
      </c>
      <c r="F155" s="5" t="s">
        <v>11</v>
      </c>
      <c r="G155" s="5"/>
    </row>
    <row r="156" spans="1:7" ht="18" hidden="1" customHeight="1">
      <c r="A156" s="12">
        <v>155</v>
      </c>
      <c r="B156" s="13" t="s">
        <v>405</v>
      </c>
      <c r="C156" s="13" t="s">
        <v>406</v>
      </c>
      <c r="D156" s="13" t="s">
        <v>407</v>
      </c>
      <c r="E156" s="13" t="s">
        <v>317</v>
      </c>
      <c r="F156" s="13" t="s">
        <v>408</v>
      </c>
      <c r="G156" s="13"/>
    </row>
    <row r="157" spans="1:7" ht="18" hidden="1" customHeight="1">
      <c r="A157" s="4">
        <v>156</v>
      </c>
      <c r="B157" s="5" t="s">
        <v>409</v>
      </c>
      <c r="C157" s="5" t="s">
        <v>410</v>
      </c>
      <c r="D157" s="5" t="s">
        <v>411</v>
      </c>
      <c r="E157" s="5" t="s">
        <v>317</v>
      </c>
      <c r="F157" s="5" t="s">
        <v>412</v>
      </c>
      <c r="G157" s="5"/>
    </row>
    <row r="158" spans="1:7" ht="18" hidden="1" customHeight="1">
      <c r="A158" s="12">
        <v>157</v>
      </c>
      <c r="B158" s="13" t="s">
        <v>409</v>
      </c>
      <c r="C158" s="13" t="s">
        <v>410</v>
      </c>
      <c r="D158" s="13" t="s">
        <v>411</v>
      </c>
      <c r="E158" s="13" t="s">
        <v>317</v>
      </c>
      <c r="F158" s="13" t="s">
        <v>11</v>
      </c>
      <c r="G158" s="13"/>
    </row>
    <row r="159" spans="1:7" ht="18" hidden="1" customHeight="1">
      <c r="A159" s="4">
        <v>158</v>
      </c>
      <c r="B159" s="5" t="s">
        <v>413</v>
      </c>
      <c r="C159" s="5" t="s">
        <v>414</v>
      </c>
      <c r="D159" s="5" t="s">
        <v>414</v>
      </c>
      <c r="E159" s="5" t="s">
        <v>317</v>
      </c>
      <c r="F159" s="5" t="s">
        <v>415</v>
      </c>
      <c r="G159" s="5"/>
    </row>
    <row r="160" spans="1:7" ht="18" hidden="1" customHeight="1">
      <c r="A160" s="12">
        <v>159</v>
      </c>
      <c r="B160" s="13" t="s">
        <v>416</v>
      </c>
      <c r="C160" s="13" t="s">
        <v>417</v>
      </c>
      <c r="D160" s="13" t="s">
        <v>418</v>
      </c>
      <c r="E160" s="13" t="s">
        <v>317</v>
      </c>
      <c r="F160" s="13" t="s">
        <v>419</v>
      </c>
      <c r="G160" s="13"/>
    </row>
    <row r="161" spans="1:7" ht="18" hidden="1" customHeight="1">
      <c r="A161" s="4">
        <v>160</v>
      </c>
      <c r="B161" s="5" t="s">
        <v>104</v>
      </c>
      <c r="C161" s="5" t="s">
        <v>105</v>
      </c>
      <c r="D161" s="5" t="s">
        <v>106</v>
      </c>
      <c r="E161" s="5" t="s">
        <v>317</v>
      </c>
      <c r="F161" s="5" t="s">
        <v>420</v>
      </c>
      <c r="G161" s="5"/>
    </row>
    <row r="162" spans="1:7" ht="18" hidden="1" customHeight="1">
      <c r="A162" s="12">
        <v>161</v>
      </c>
      <c r="B162" s="13" t="s">
        <v>107</v>
      </c>
      <c r="C162" s="13" t="s">
        <v>108</v>
      </c>
      <c r="D162" s="13" t="s">
        <v>109</v>
      </c>
      <c r="E162" s="13" t="s">
        <v>317</v>
      </c>
      <c r="F162" s="13" t="s">
        <v>421</v>
      </c>
      <c r="G162" s="13"/>
    </row>
    <row r="163" spans="1:7" ht="18" hidden="1" customHeight="1">
      <c r="A163" s="4">
        <v>162</v>
      </c>
      <c r="B163" s="5" t="s">
        <v>110</v>
      </c>
      <c r="C163" s="5" t="s">
        <v>111</v>
      </c>
      <c r="D163" s="5" t="s">
        <v>112</v>
      </c>
      <c r="E163" s="5" t="s">
        <v>317</v>
      </c>
      <c r="F163" s="5" t="s">
        <v>422</v>
      </c>
      <c r="G163" s="5"/>
    </row>
    <row r="164" spans="1:7" ht="18" hidden="1" customHeight="1">
      <c r="A164" s="12">
        <v>163</v>
      </c>
      <c r="B164" s="13" t="s">
        <v>113</v>
      </c>
      <c r="C164" s="13" t="s">
        <v>114</v>
      </c>
      <c r="D164" s="13" t="s">
        <v>115</v>
      </c>
      <c r="E164" s="13" t="s">
        <v>317</v>
      </c>
      <c r="F164" s="13" t="s">
        <v>423</v>
      </c>
      <c r="G164" s="13"/>
    </row>
    <row r="165" spans="1:7" ht="18" hidden="1" customHeight="1">
      <c r="A165" s="4">
        <v>164</v>
      </c>
      <c r="B165" s="5" t="s">
        <v>116</v>
      </c>
      <c r="C165" s="5" t="s">
        <v>117</v>
      </c>
      <c r="D165" s="5" t="s">
        <v>118</v>
      </c>
      <c r="E165" s="5" t="s">
        <v>317</v>
      </c>
      <c r="F165" s="5" t="s">
        <v>424</v>
      </c>
      <c r="G165" s="5"/>
    </row>
    <row r="166" spans="1:7" ht="18" hidden="1" customHeight="1">
      <c r="A166" s="12">
        <v>165</v>
      </c>
      <c r="B166" s="13" t="s">
        <v>119</v>
      </c>
      <c r="C166" s="13" t="s">
        <v>120</v>
      </c>
      <c r="D166" s="13" t="s">
        <v>121</v>
      </c>
      <c r="E166" s="13" t="s">
        <v>317</v>
      </c>
      <c r="F166" s="13" t="s">
        <v>425</v>
      </c>
      <c r="G166" s="13"/>
    </row>
    <row r="167" spans="1:7" ht="18" hidden="1" customHeight="1">
      <c r="A167" s="4">
        <v>166</v>
      </c>
      <c r="B167" s="5" t="s">
        <v>119</v>
      </c>
      <c r="C167" s="5" t="s">
        <v>120</v>
      </c>
      <c r="D167" s="5" t="s">
        <v>121</v>
      </c>
      <c r="E167" s="5" t="s">
        <v>317</v>
      </c>
      <c r="F167" s="5" t="s">
        <v>11</v>
      </c>
      <c r="G167" s="5"/>
    </row>
    <row r="168" spans="1:7" ht="18" hidden="1" customHeight="1">
      <c r="A168" s="12">
        <v>167</v>
      </c>
      <c r="B168" s="13" t="s">
        <v>122</v>
      </c>
      <c r="C168" s="13" t="s">
        <v>123</v>
      </c>
      <c r="D168" s="13" t="s">
        <v>124</v>
      </c>
      <c r="E168" s="13" t="s">
        <v>317</v>
      </c>
      <c r="F168" s="13" t="s">
        <v>426</v>
      </c>
      <c r="G168" s="13"/>
    </row>
    <row r="169" spans="1:7" ht="18" hidden="1" customHeight="1">
      <c r="A169" s="4">
        <v>168</v>
      </c>
      <c r="B169" s="5" t="s">
        <v>122</v>
      </c>
      <c r="C169" s="5" t="s">
        <v>123</v>
      </c>
      <c r="D169" s="5" t="s">
        <v>124</v>
      </c>
      <c r="E169" s="5" t="s">
        <v>317</v>
      </c>
      <c r="F169" s="5" t="s">
        <v>11</v>
      </c>
      <c r="G169" s="5"/>
    </row>
    <row r="170" spans="1:7" ht="18" hidden="1" customHeight="1">
      <c r="A170" s="12">
        <v>169</v>
      </c>
      <c r="B170" s="13" t="s">
        <v>125</v>
      </c>
      <c r="C170" s="13" t="s">
        <v>126</v>
      </c>
      <c r="D170" s="13" t="s">
        <v>126</v>
      </c>
      <c r="E170" s="13" t="s">
        <v>317</v>
      </c>
      <c r="F170" s="13" t="s">
        <v>427</v>
      </c>
      <c r="G170" s="13"/>
    </row>
    <row r="171" spans="1:7" ht="18" hidden="1" customHeight="1">
      <c r="A171" s="4">
        <v>170</v>
      </c>
      <c r="B171" s="5" t="s">
        <v>127</v>
      </c>
      <c r="C171" s="5" t="s">
        <v>128</v>
      </c>
      <c r="D171" s="5" t="s">
        <v>129</v>
      </c>
      <c r="E171" s="5" t="s">
        <v>317</v>
      </c>
      <c r="F171" s="5" t="s">
        <v>428</v>
      </c>
      <c r="G171" s="5"/>
    </row>
    <row r="172" spans="1:7" ht="18" hidden="1" customHeight="1">
      <c r="A172" s="12">
        <v>171</v>
      </c>
      <c r="B172" s="13" t="s">
        <v>131</v>
      </c>
      <c r="C172" s="13" t="s">
        <v>132</v>
      </c>
      <c r="D172" s="13" t="s">
        <v>133</v>
      </c>
      <c r="E172" s="13" t="s">
        <v>317</v>
      </c>
      <c r="F172" s="13" t="s">
        <v>429</v>
      </c>
      <c r="G172" s="13"/>
    </row>
    <row r="173" spans="1:7" ht="18" hidden="1" customHeight="1">
      <c r="A173" s="4">
        <v>172</v>
      </c>
      <c r="B173" s="5" t="s">
        <v>134</v>
      </c>
      <c r="C173" s="5" t="s">
        <v>135</v>
      </c>
      <c r="D173" s="5" t="s">
        <v>136</v>
      </c>
      <c r="E173" s="5" t="s">
        <v>317</v>
      </c>
      <c r="F173" s="5" t="s">
        <v>430</v>
      </c>
      <c r="G173" s="5"/>
    </row>
    <row r="174" spans="1:7" ht="18" hidden="1" customHeight="1">
      <c r="A174" s="12">
        <v>173</v>
      </c>
      <c r="B174" s="13" t="s">
        <v>137</v>
      </c>
      <c r="C174" s="13" t="s">
        <v>138</v>
      </c>
      <c r="D174" s="13" t="s">
        <v>138</v>
      </c>
      <c r="E174" s="13" t="s">
        <v>317</v>
      </c>
      <c r="F174" s="13" t="s">
        <v>431</v>
      </c>
      <c r="G174" s="13"/>
    </row>
    <row r="175" spans="1:7" ht="18" hidden="1" customHeight="1">
      <c r="A175" s="4">
        <v>174</v>
      </c>
      <c r="B175" s="5" t="s">
        <v>139</v>
      </c>
      <c r="C175" s="5" t="s">
        <v>140</v>
      </c>
      <c r="D175" s="5" t="s">
        <v>141</v>
      </c>
      <c r="E175" s="5" t="s">
        <v>317</v>
      </c>
      <c r="F175" s="5" t="s">
        <v>432</v>
      </c>
      <c r="G175" s="5"/>
    </row>
    <row r="176" spans="1:7" ht="18" hidden="1" customHeight="1">
      <c r="A176" s="12">
        <v>175</v>
      </c>
      <c r="B176" s="13" t="s">
        <v>433</v>
      </c>
      <c r="C176" s="13" t="s">
        <v>434</v>
      </c>
      <c r="D176" s="13" t="s">
        <v>435</v>
      </c>
      <c r="E176" s="13" t="s">
        <v>317</v>
      </c>
      <c r="F176" s="13" t="s">
        <v>436</v>
      </c>
      <c r="G176" s="13"/>
    </row>
    <row r="177" spans="1:7" ht="18" hidden="1" customHeight="1">
      <c r="A177" s="4">
        <v>176</v>
      </c>
      <c r="B177" s="5" t="s">
        <v>142</v>
      </c>
      <c r="C177" s="5" t="s">
        <v>143</v>
      </c>
      <c r="D177" s="5" t="s">
        <v>144</v>
      </c>
      <c r="E177" s="5" t="s">
        <v>317</v>
      </c>
      <c r="F177" s="5" t="s">
        <v>437</v>
      </c>
      <c r="G177" s="5"/>
    </row>
    <row r="178" spans="1:7" ht="18" hidden="1" customHeight="1">
      <c r="A178" s="12">
        <v>177</v>
      </c>
      <c r="B178" s="13" t="s">
        <v>438</v>
      </c>
      <c r="C178" s="13" t="s">
        <v>439</v>
      </c>
      <c r="D178" s="13" t="s">
        <v>440</v>
      </c>
      <c r="E178" s="13" t="s">
        <v>317</v>
      </c>
      <c r="F178" s="13" t="s">
        <v>441</v>
      </c>
      <c r="G178" s="13"/>
    </row>
    <row r="179" spans="1:7" ht="18" hidden="1" customHeight="1">
      <c r="A179" s="4">
        <v>178</v>
      </c>
      <c r="B179" s="5" t="s">
        <v>145</v>
      </c>
      <c r="C179" s="5" t="s">
        <v>146</v>
      </c>
      <c r="D179" s="5" t="s">
        <v>147</v>
      </c>
      <c r="E179" s="5" t="s">
        <v>317</v>
      </c>
      <c r="F179" s="5" t="s">
        <v>442</v>
      </c>
      <c r="G179" s="5"/>
    </row>
    <row r="180" spans="1:7" ht="18" hidden="1" customHeight="1">
      <c r="A180" s="12">
        <v>179</v>
      </c>
      <c r="B180" s="13" t="s">
        <v>149</v>
      </c>
      <c r="C180" s="13" t="s">
        <v>150</v>
      </c>
      <c r="D180" s="13" t="s">
        <v>151</v>
      </c>
      <c r="E180" s="13" t="s">
        <v>317</v>
      </c>
      <c r="F180" s="13" t="s">
        <v>443</v>
      </c>
      <c r="G180" s="13"/>
    </row>
    <row r="181" spans="1:7" ht="18" hidden="1" customHeight="1">
      <c r="A181" s="4">
        <v>180</v>
      </c>
      <c r="B181" s="5" t="s">
        <v>444</v>
      </c>
      <c r="C181" s="5" t="s">
        <v>445</v>
      </c>
      <c r="D181" s="5" t="s">
        <v>446</v>
      </c>
      <c r="E181" s="5" t="s">
        <v>317</v>
      </c>
      <c r="F181" s="5" t="s">
        <v>447</v>
      </c>
      <c r="G181" s="5"/>
    </row>
    <row r="182" spans="1:7" ht="18" hidden="1" customHeight="1">
      <c r="A182" s="12">
        <v>181</v>
      </c>
      <c r="B182" s="13" t="s">
        <v>152</v>
      </c>
      <c r="C182" s="13" t="s">
        <v>153</v>
      </c>
      <c r="D182" s="13" t="s">
        <v>154</v>
      </c>
      <c r="E182" s="13" t="s">
        <v>317</v>
      </c>
      <c r="F182" s="13" t="s">
        <v>448</v>
      </c>
      <c r="G182" s="13"/>
    </row>
    <row r="183" spans="1:7" ht="18" hidden="1" customHeight="1">
      <c r="A183" s="4">
        <v>182</v>
      </c>
      <c r="B183" s="5" t="s">
        <v>156</v>
      </c>
      <c r="C183" s="5" t="s">
        <v>157</v>
      </c>
      <c r="D183" s="5" t="s">
        <v>157</v>
      </c>
      <c r="E183" s="5" t="s">
        <v>317</v>
      </c>
      <c r="F183" s="5" t="s">
        <v>449</v>
      </c>
      <c r="G183" s="5"/>
    </row>
    <row r="184" spans="1:7" ht="18" hidden="1" customHeight="1">
      <c r="A184" s="12">
        <v>183</v>
      </c>
      <c r="B184" s="13" t="s">
        <v>156</v>
      </c>
      <c r="C184" s="13" t="s">
        <v>157</v>
      </c>
      <c r="D184" s="13" t="s">
        <v>157</v>
      </c>
      <c r="E184" s="13" t="s">
        <v>317</v>
      </c>
      <c r="F184" s="13" t="s">
        <v>11</v>
      </c>
      <c r="G184" s="13"/>
    </row>
    <row r="185" spans="1:7" ht="18" hidden="1" customHeight="1">
      <c r="A185" s="4">
        <v>184</v>
      </c>
      <c r="B185" s="5" t="s">
        <v>450</v>
      </c>
      <c r="C185" s="5" t="s">
        <v>451</v>
      </c>
      <c r="D185" s="5" t="s">
        <v>452</v>
      </c>
      <c r="E185" s="5" t="s">
        <v>317</v>
      </c>
      <c r="F185" s="5" t="s">
        <v>453</v>
      </c>
      <c r="G185" s="5"/>
    </row>
    <row r="186" spans="1:7" ht="18" hidden="1" customHeight="1">
      <c r="A186" s="12">
        <v>185</v>
      </c>
      <c r="B186" s="13" t="s">
        <v>454</v>
      </c>
      <c r="C186" s="13" t="s">
        <v>455</v>
      </c>
      <c r="D186" s="13" t="s">
        <v>456</v>
      </c>
      <c r="E186" s="13" t="s">
        <v>317</v>
      </c>
      <c r="F186" s="13" t="s">
        <v>457</v>
      </c>
      <c r="G186" s="13"/>
    </row>
    <row r="187" spans="1:7" ht="18" hidden="1" customHeight="1">
      <c r="A187" s="4">
        <v>186</v>
      </c>
      <c r="B187" s="5" t="s">
        <v>158</v>
      </c>
      <c r="C187" s="5" t="s">
        <v>159</v>
      </c>
      <c r="D187" s="5" t="s">
        <v>160</v>
      </c>
      <c r="E187" s="5" t="s">
        <v>317</v>
      </c>
      <c r="F187" s="5" t="s">
        <v>458</v>
      </c>
      <c r="G187" s="5"/>
    </row>
    <row r="188" spans="1:7" ht="18" hidden="1" customHeight="1">
      <c r="A188" s="12">
        <v>187</v>
      </c>
      <c r="B188" s="13" t="s">
        <v>161</v>
      </c>
      <c r="C188" s="13" t="s">
        <v>162</v>
      </c>
      <c r="D188" s="13" t="s">
        <v>162</v>
      </c>
      <c r="E188" s="13" t="s">
        <v>317</v>
      </c>
      <c r="F188" s="13" t="s">
        <v>459</v>
      </c>
      <c r="G188" s="13"/>
    </row>
    <row r="189" spans="1:7" ht="18" hidden="1" customHeight="1">
      <c r="A189" s="4">
        <v>188</v>
      </c>
      <c r="B189" s="5" t="s">
        <v>460</v>
      </c>
      <c r="C189" s="5" t="s">
        <v>461</v>
      </c>
      <c r="D189" s="5" t="s">
        <v>462</v>
      </c>
      <c r="E189" s="5" t="s">
        <v>317</v>
      </c>
      <c r="F189" s="5" t="s">
        <v>463</v>
      </c>
      <c r="G189" s="5"/>
    </row>
    <row r="190" spans="1:7" ht="18" hidden="1" customHeight="1">
      <c r="A190" s="12">
        <v>189</v>
      </c>
      <c r="B190" s="13" t="s">
        <v>464</v>
      </c>
      <c r="C190" s="13" t="s">
        <v>465</v>
      </c>
      <c r="D190" s="13" t="s">
        <v>466</v>
      </c>
      <c r="E190" s="13" t="s">
        <v>317</v>
      </c>
      <c r="F190" s="13" t="s">
        <v>467</v>
      </c>
      <c r="G190" s="13"/>
    </row>
    <row r="191" spans="1:7" ht="18" hidden="1" customHeight="1">
      <c r="A191" s="4">
        <v>190</v>
      </c>
      <c r="B191" s="5" t="s">
        <v>468</v>
      </c>
      <c r="C191" s="5" t="s">
        <v>469</v>
      </c>
      <c r="D191" s="5" t="s">
        <v>470</v>
      </c>
      <c r="E191" s="5" t="s">
        <v>317</v>
      </c>
      <c r="F191" s="5" t="s">
        <v>471</v>
      </c>
      <c r="G191" s="5"/>
    </row>
    <row r="192" spans="1:7" ht="18" hidden="1" customHeight="1">
      <c r="A192" s="12">
        <v>191</v>
      </c>
      <c r="B192" s="13" t="s">
        <v>163</v>
      </c>
      <c r="C192" s="13" t="s">
        <v>164</v>
      </c>
      <c r="D192" s="13" t="s">
        <v>165</v>
      </c>
      <c r="E192" s="13" t="s">
        <v>317</v>
      </c>
      <c r="F192" s="13" t="s">
        <v>472</v>
      </c>
      <c r="G192" s="13"/>
    </row>
    <row r="193" spans="1:7" ht="18" hidden="1" customHeight="1">
      <c r="A193" s="4">
        <v>192</v>
      </c>
      <c r="B193" s="5" t="s">
        <v>166</v>
      </c>
      <c r="C193" s="5" t="s">
        <v>167</v>
      </c>
      <c r="D193" s="5" t="s">
        <v>168</v>
      </c>
      <c r="E193" s="5" t="s">
        <v>317</v>
      </c>
      <c r="F193" s="5" t="s">
        <v>473</v>
      </c>
      <c r="G193" s="5"/>
    </row>
    <row r="194" spans="1:7" ht="18" hidden="1" customHeight="1">
      <c r="A194" s="12">
        <v>193</v>
      </c>
      <c r="B194" s="13" t="s">
        <v>170</v>
      </c>
      <c r="C194" s="13" t="s">
        <v>171</v>
      </c>
      <c r="D194" s="13" t="s">
        <v>172</v>
      </c>
      <c r="E194" s="13" t="s">
        <v>317</v>
      </c>
      <c r="F194" s="13" t="s">
        <v>474</v>
      </c>
      <c r="G194" s="13"/>
    </row>
    <row r="195" spans="1:7" ht="18" hidden="1" customHeight="1">
      <c r="A195" s="4">
        <v>194</v>
      </c>
      <c r="B195" s="5" t="s">
        <v>173</v>
      </c>
      <c r="C195" s="5" t="s">
        <v>174</v>
      </c>
      <c r="D195" s="5" t="s">
        <v>175</v>
      </c>
      <c r="E195" s="5" t="s">
        <v>317</v>
      </c>
      <c r="F195" s="5" t="s">
        <v>475</v>
      </c>
      <c r="G195" s="5"/>
    </row>
    <row r="196" spans="1:7" ht="18" hidden="1" customHeight="1">
      <c r="A196" s="12">
        <v>195</v>
      </c>
      <c r="B196" s="13" t="s">
        <v>176</v>
      </c>
      <c r="C196" s="13" t="s">
        <v>177</v>
      </c>
      <c r="D196" s="13" t="s">
        <v>178</v>
      </c>
      <c r="E196" s="13" t="s">
        <v>317</v>
      </c>
      <c r="F196" s="13" t="s">
        <v>476</v>
      </c>
      <c r="G196" s="13"/>
    </row>
    <row r="197" spans="1:7" ht="18" hidden="1" customHeight="1">
      <c r="A197" s="4">
        <v>196</v>
      </c>
      <c r="B197" s="5" t="s">
        <v>179</v>
      </c>
      <c r="C197" s="5" t="s">
        <v>180</v>
      </c>
      <c r="D197" s="5" t="s">
        <v>181</v>
      </c>
      <c r="E197" s="5" t="s">
        <v>317</v>
      </c>
      <c r="F197" s="5" t="s">
        <v>477</v>
      </c>
      <c r="G197" s="5"/>
    </row>
    <row r="198" spans="1:7" ht="18" hidden="1" customHeight="1">
      <c r="A198" s="12">
        <v>197</v>
      </c>
      <c r="B198" s="13" t="s">
        <v>182</v>
      </c>
      <c r="C198" s="13" t="s">
        <v>183</v>
      </c>
      <c r="D198" s="13" t="s">
        <v>184</v>
      </c>
      <c r="E198" s="13" t="s">
        <v>317</v>
      </c>
      <c r="F198" s="13" t="s">
        <v>478</v>
      </c>
      <c r="G198" s="13"/>
    </row>
    <row r="199" spans="1:7" ht="18" hidden="1" customHeight="1">
      <c r="A199" s="4">
        <v>198</v>
      </c>
      <c r="B199" s="5" t="s">
        <v>479</v>
      </c>
      <c r="C199" s="5" t="s">
        <v>480</v>
      </c>
      <c r="D199" s="5" t="s">
        <v>481</v>
      </c>
      <c r="E199" s="5" t="s">
        <v>317</v>
      </c>
      <c r="F199" s="5" t="s">
        <v>482</v>
      </c>
      <c r="G199" s="5"/>
    </row>
    <row r="200" spans="1:7" ht="18" hidden="1" customHeight="1">
      <c r="A200" s="12">
        <v>199</v>
      </c>
      <c r="B200" s="13" t="s">
        <v>185</v>
      </c>
      <c r="C200" s="13" t="s">
        <v>186</v>
      </c>
      <c r="D200" s="13" t="s">
        <v>187</v>
      </c>
      <c r="E200" s="13" t="s">
        <v>317</v>
      </c>
      <c r="F200" s="13" t="s">
        <v>483</v>
      </c>
      <c r="G200" s="13"/>
    </row>
    <row r="201" spans="1:7" ht="18" hidden="1" customHeight="1">
      <c r="A201" s="4">
        <v>200</v>
      </c>
      <c r="B201" s="5" t="s">
        <v>188</v>
      </c>
      <c r="C201" s="5" t="s">
        <v>189</v>
      </c>
      <c r="D201" s="5" t="s">
        <v>190</v>
      </c>
      <c r="E201" s="5" t="s">
        <v>317</v>
      </c>
      <c r="F201" s="5" t="s">
        <v>484</v>
      </c>
      <c r="G201" s="5"/>
    </row>
    <row r="202" spans="1:7" ht="18" hidden="1" customHeight="1">
      <c r="A202" s="12">
        <v>201</v>
      </c>
      <c r="B202" s="13" t="s">
        <v>485</v>
      </c>
      <c r="C202" s="13" t="s">
        <v>486</v>
      </c>
      <c r="D202" s="13" t="s">
        <v>487</v>
      </c>
      <c r="E202" s="13" t="s">
        <v>317</v>
      </c>
      <c r="F202" s="13" t="s">
        <v>488</v>
      </c>
      <c r="G202" s="13"/>
    </row>
    <row r="203" spans="1:7" ht="18" hidden="1" customHeight="1">
      <c r="A203" s="4">
        <v>202</v>
      </c>
      <c r="B203" s="5" t="s">
        <v>489</v>
      </c>
      <c r="C203" s="5" t="s">
        <v>490</v>
      </c>
      <c r="D203" s="5" t="s">
        <v>491</v>
      </c>
      <c r="E203" s="5" t="s">
        <v>317</v>
      </c>
      <c r="F203" s="5" t="s">
        <v>492</v>
      </c>
      <c r="G203" s="5"/>
    </row>
    <row r="204" spans="1:7" ht="18" hidden="1" customHeight="1">
      <c r="A204" s="12">
        <v>203</v>
      </c>
      <c r="B204" s="13" t="s">
        <v>191</v>
      </c>
      <c r="C204" s="13" t="s">
        <v>192</v>
      </c>
      <c r="D204" s="13" t="s">
        <v>193</v>
      </c>
      <c r="E204" s="13" t="s">
        <v>317</v>
      </c>
      <c r="F204" s="13" t="s">
        <v>493</v>
      </c>
      <c r="G204" s="13"/>
    </row>
    <row r="205" spans="1:7" ht="18" hidden="1" customHeight="1">
      <c r="A205" s="4">
        <v>204</v>
      </c>
      <c r="B205" s="5" t="s">
        <v>494</v>
      </c>
      <c r="C205" s="5" t="s">
        <v>495</v>
      </c>
      <c r="D205" s="5" t="s">
        <v>496</v>
      </c>
      <c r="E205" s="5" t="s">
        <v>317</v>
      </c>
      <c r="F205" s="5" t="s">
        <v>497</v>
      </c>
      <c r="G205" s="5"/>
    </row>
    <row r="206" spans="1:7" ht="18" hidden="1" customHeight="1">
      <c r="A206" s="12">
        <v>205</v>
      </c>
      <c r="B206" s="13" t="s">
        <v>498</v>
      </c>
      <c r="C206" s="13" t="s">
        <v>499</v>
      </c>
      <c r="D206" s="13" t="s">
        <v>500</v>
      </c>
      <c r="E206" s="13" t="s">
        <v>317</v>
      </c>
      <c r="F206" s="13" t="s">
        <v>501</v>
      </c>
      <c r="G206" s="13"/>
    </row>
    <row r="207" spans="1:7" ht="18" hidden="1" customHeight="1">
      <c r="A207" s="4">
        <v>206</v>
      </c>
      <c r="B207" s="5" t="s">
        <v>194</v>
      </c>
      <c r="C207" s="5" t="s">
        <v>195</v>
      </c>
      <c r="D207" s="5" t="s">
        <v>196</v>
      </c>
      <c r="E207" s="5" t="s">
        <v>317</v>
      </c>
      <c r="F207" s="5" t="s">
        <v>502</v>
      </c>
      <c r="G207" s="5"/>
    </row>
    <row r="208" spans="1:7" ht="18" hidden="1" customHeight="1">
      <c r="A208" s="12">
        <v>207</v>
      </c>
      <c r="B208" s="13" t="s">
        <v>17</v>
      </c>
      <c r="C208" s="13" t="s">
        <v>18</v>
      </c>
      <c r="D208" s="13" t="s">
        <v>18</v>
      </c>
      <c r="E208" s="13" t="s">
        <v>317</v>
      </c>
      <c r="F208" s="13" t="s">
        <v>503</v>
      </c>
      <c r="G208" s="13"/>
    </row>
    <row r="209" spans="1:7" ht="18" hidden="1" customHeight="1">
      <c r="A209" s="4">
        <v>208</v>
      </c>
      <c r="B209" s="5" t="s">
        <v>197</v>
      </c>
      <c r="C209" s="5" t="s">
        <v>198</v>
      </c>
      <c r="D209" s="5" t="s">
        <v>198</v>
      </c>
      <c r="E209" s="5" t="s">
        <v>317</v>
      </c>
      <c r="F209" s="5" t="s">
        <v>504</v>
      </c>
      <c r="G209" s="5"/>
    </row>
    <row r="210" spans="1:7" ht="18" hidden="1" customHeight="1">
      <c r="A210" s="12">
        <v>209</v>
      </c>
      <c r="B210" s="13" t="s">
        <v>505</v>
      </c>
      <c r="C210" s="13" t="s">
        <v>506</v>
      </c>
      <c r="D210" s="13" t="s">
        <v>507</v>
      </c>
      <c r="E210" s="13" t="s">
        <v>317</v>
      </c>
      <c r="F210" s="13" t="s">
        <v>508</v>
      </c>
      <c r="G210" s="13"/>
    </row>
    <row r="211" spans="1:7" ht="18" hidden="1" customHeight="1">
      <c r="A211" s="4">
        <v>210</v>
      </c>
      <c r="B211" s="5" t="s">
        <v>199</v>
      </c>
      <c r="C211" s="5" t="s">
        <v>200</v>
      </c>
      <c r="D211" s="5" t="s">
        <v>201</v>
      </c>
      <c r="E211" s="5" t="s">
        <v>317</v>
      </c>
      <c r="F211" s="5" t="s">
        <v>509</v>
      </c>
      <c r="G211" s="5"/>
    </row>
    <row r="212" spans="1:7" ht="18" hidden="1" customHeight="1">
      <c r="A212" s="12">
        <v>211</v>
      </c>
      <c r="B212" s="13" t="s">
        <v>510</v>
      </c>
      <c r="C212" s="13" t="s">
        <v>511</v>
      </c>
      <c r="D212" s="13" t="s">
        <v>512</v>
      </c>
      <c r="E212" s="13" t="s">
        <v>317</v>
      </c>
      <c r="F212" s="13" t="s">
        <v>513</v>
      </c>
      <c r="G212" s="13"/>
    </row>
    <row r="213" spans="1:7" ht="18" hidden="1" customHeight="1">
      <c r="A213" s="4">
        <v>212</v>
      </c>
      <c r="B213" s="5" t="s">
        <v>202</v>
      </c>
      <c r="C213" s="5" t="s">
        <v>203</v>
      </c>
      <c r="D213" s="5" t="s">
        <v>204</v>
      </c>
      <c r="E213" s="5" t="s">
        <v>317</v>
      </c>
      <c r="F213" s="5" t="s">
        <v>514</v>
      </c>
      <c r="G213" s="5"/>
    </row>
    <row r="214" spans="1:7" ht="18" hidden="1" customHeight="1">
      <c r="A214" s="12">
        <v>213</v>
      </c>
      <c r="B214" s="13" t="s">
        <v>205</v>
      </c>
      <c r="C214" s="13" t="s">
        <v>206</v>
      </c>
      <c r="D214" s="13" t="s">
        <v>207</v>
      </c>
      <c r="E214" s="13" t="s">
        <v>317</v>
      </c>
      <c r="F214" s="13" t="s">
        <v>515</v>
      </c>
      <c r="G214" s="13"/>
    </row>
    <row r="215" spans="1:7" ht="18" hidden="1" customHeight="1">
      <c r="A215" s="4">
        <v>214</v>
      </c>
      <c r="B215" s="5" t="s">
        <v>208</v>
      </c>
      <c r="C215" s="5" t="s">
        <v>209</v>
      </c>
      <c r="D215" s="5" t="s">
        <v>210</v>
      </c>
      <c r="E215" s="5" t="s">
        <v>317</v>
      </c>
      <c r="F215" s="5" t="s">
        <v>516</v>
      </c>
      <c r="G215" s="5"/>
    </row>
    <row r="216" spans="1:7" ht="18" hidden="1" customHeight="1">
      <c r="A216" s="12">
        <v>215</v>
      </c>
      <c r="B216" s="13" t="s">
        <v>211</v>
      </c>
      <c r="C216" s="13" t="s">
        <v>212</v>
      </c>
      <c r="D216" s="13" t="s">
        <v>213</v>
      </c>
      <c r="E216" s="13" t="s">
        <v>317</v>
      </c>
      <c r="F216" s="13" t="s">
        <v>517</v>
      </c>
      <c r="G216" s="13"/>
    </row>
    <row r="217" spans="1:7" ht="18" hidden="1" customHeight="1">
      <c r="A217" s="4">
        <v>216</v>
      </c>
      <c r="B217" s="5" t="s">
        <v>214</v>
      </c>
      <c r="C217" s="5" t="s">
        <v>215</v>
      </c>
      <c r="D217" s="5" t="s">
        <v>216</v>
      </c>
      <c r="E217" s="5" t="s">
        <v>317</v>
      </c>
      <c r="F217" s="5" t="s">
        <v>518</v>
      </c>
      <c r="G217" s="5"/>
    </row>
    <row r="218" spans="1:7" ht="18" hidden="1" customHeight="1">
      <c r="A218" s="12">
        <v>217</v>
      </c>
      <c r="B218" s="13" t="s">
        <v>217</v>
      </c>
      <c r="C218" s="13" t="s">
        <v>218</v>
      </c>
      <c r="D218" s="13" t="s">
        <v>219</v>
      </c>
      <c r="E218" s="13" t="s">
        <v>317</v>
      </c>
      <c r="F218" s="13" t="s">
        <v>519</v>
      </c>
      <c r="G218" s="13"/>
    </row>
    <row r="219" spans="1:7" ht="18" hidden="1" customHeight="1">
      <c r="A219" s="4">
        <v>218</v>
      </c>
      <c r="B219" s="5" t="s">
        <v>520</v>
      </c>
      <c r="C219" s="5" t="s">
        <v>521</v>
      </c>
      <c r="D219" s="5" t="s">
        <v>522</v>
      </c>
      <c r="E219" s="5" t="s">
        <v>317</v>
      </c>
      <c r="F219" s="5" t="s">
        <v>523</v>
      </c>
      <c r="G219" s="5"/>
    </row>
    <row r="220" spans="1:7" ht="18" hidden="1" customHeight="1">
      <c r="A220" s="12">
        <v>219</v>
      </c>
      <c r="B220" s="13" t="s">
        <v>524</v>
      </c>
      <c r="C220" s="13" t="s">
        <v>525</v>
      </c>
      <c r="D220" s="13" t="s">
        <v>526</v>
      </c>
      <c r="E220" s="13" t="s">
        <v>317</v>
      </c>
      <c r="F220" s="13" t="s">
        <v>527</v>
      </c>
      <c r="G220" s="13"/>
    </row>
    <row r="221" spans="1:7" ht="18" hidden="1" customHeight="1">
      <c r="A221" s="4">
        <v>220</v>
      </c>
      <c r="B221" s="5" t="s">
        <v>524</v>
      </c>
      <c r="C221" s="5" t="s">
        <v>525</v>
      </c>
      <c r="D221" s="5" t="s">
        <v>526</v>
      </c>
      <c r="E221" s="5" t="s">
        <v>317</v>
      </c>
      <c r="F221" s="5" t="s">
        <v>528</v>
      </c>
      <c r="G221" s="5"/>
    </row>
    <row r="222" spans="1:7" ht="18" hidden="1" customHeight="1">
      <c r="A222" s="12">
        <v>221</v>
      </c>
      <c r="B222" s="13" t="s">
        <v>220</v>
      </c>
      <c r="C222" s="13" t="s">
        <v>221</v>
      </c>
      <c r="D222" s="13" t="s">
        <v>222</v>
      </c>
      <c r="E222" s="13" t="s">
        <v>317</v>
      </c>
      <c r="F222" s="13" t="s">
        <v>529</v>
      </c>
      <c r="G222" s="13"/>
    </row>
    <row r="223" spans="1:7" ht="18" hidden="1" customHeight="1">
      <c r="A223" s="4">
        <v>222</v>
      </c>
      <c r="B223" s="5" t="s">
        <v>530</v>
      </c>
      <c r="C223" s="5" t="s">
        <v>531</v>
      </c>
      <c r="D223" s="5" t="s">
        <v>532</v>
      </c>
      <c r="E223" s="5" t="s">
        <v>317</v>
      </c>
      <c r="F223" s="5" t="s">
        <v>533</v>
      </c>
      <c r="G223" s="5"/>
    </row>
    <row r="224" spans="1:7" ht="18" hidden="1" customHeight="1">
      <c r="A224" s="12">
        <v>223</v>
      </c>
      <c r="B224" s="13" t="s">
        <v>534</v>
      </c>
      <c r="C224" s="13" t="s">
        <v>535</v>
      </c>
      <c r="D224" s="13" t="s">
        <v>536</v>
      </c>
      <c r="E224" s="13" t="s">
        <v>317</v>
      </c>
      <c r="F224" s="13" t="s">
        <v>537</v>
      </c>
      <c r="G224" s="13"/>
    </row>
    <row r="225" spans="1:7" ht="18" hidden="1" customHeight="1">
      <c r="A225" s="4">
        <v>224</v>
      </c>
      <c r="B225" s="5" t="s">
        <v>223</v>
      </c>
      <c r="C225" s="5" t="s">
        <v>224</v>
      </c>
      <c r="D225" s="5" t="s">
        <v>225</v>
      </c>
      <c r="E225" s="5" t="s">
        <v>317</v>
      </c>
      <c r="F225" s="5" t="s">
        <v>538</v>
      </c>
      <c r="G225" s="5"/>
    </row>
    <row r="226" spans="1:7" ht="18" hidden="1" customHeight="1">
      <c r="A226" s="12">
        <v>225</v>
      </c>
      <c r="B226" s="13" t="s">
        <v>226</v>
      </c>
      <c r="C226" s="13" t="s">
        <v>227</v>
      </c>
      <c r="D226" s="13" t="s">
        <v>228</v>
      </c>
      <c r="E226" s="13" t="s">
        <v>317</v>
      </c>
      <c r="F226" s="13" t="s">
        <v>539</v>
      </c>
      <c r="G226" s="13"/>
    </row>
    <row r="227" spans="1:7" ht="18" hidden="1" customHeight="1">
      <c r="A227" s="4">
        <v>226</v>
      </c>
      <c r="B227" s="5" t="s">
        <v>226</v>
      </c>
      <c r="C227" s="5" t="s">
        <v>227</v>
      </c>
      <c r="D227" s="5" t="s">
        <v>228</v>
      </c>
      <c r="E227" s="5" t="s">
        <v>317</v>
      </c>
      <c r="F227" s="5" t="s">
        <v>11</v>
      </c>
      <c r="G227" s="5"/>
    </row>
    <row r="228" spans="1:7" ht="18" hidden="1" customHeight="1">
      <c r="A228" s="12">
        <v>227</v>
      </c>
      <c r="B228" s="13" t="s">
        <v>540</v>
      </c>
      <c r="C228" s="13" t="s">
        <v>541</v>
      </c>
      <c r="D228" s="13" t="s">
        <v>542</v>
      </c>
      <c r="E228" s="13" t="s">
        <v>317</v>
      </c>
      <c r="F228" s="13" t="s">
        <v>543</v>
      </c>
      <c r="G228" s="13"/>
    </row>
    <row r="229" spans="1:7" ht="18" hidden="1" customHeight="1">
      <c r="A229" s="4">
        <v>228</v>
      </c>
      <c r="B229" s="5" t="s">
        <v>21</v>
      </c>
      <c r="C229" s="5" t="s">
        <v>22</v>
      </c>
      <c r="D229" s="5" t="s">
        <v>23</v>
      </c>
      <c r="E229" s="5" t="s">
        <v>317</v>
      </c>
      <c r="F229" s="5" t="s">
        <v>544</v>
      </c>
      <c r="G229" s="5"/>
    </row>
    <row r="230" spans="1:7" ht="18" hidden="1" customHeight="1">
      <c r="A230" s="12">
        <v>229</v>
      </c>
      <c r="B230" s="13" t="s">
        <v>229</v>
      </c>
      <c r="C230" s="13" t="s">
        <v>230</v>
      </c>
      <c r="D230" s="13" t="s">
        <v>231</v>
      </c>
      <c r="E230" s="13" t="s">
        <v>317</v>
      </c>
      <c r="F230" s="13" t="s">
        <v>545</v>
      </c>
      <c r="G230" s="13"/>
    </row>
    <row r="231" spans="1:7" ht="18" hidden="1" customHeight="1">
      <c r="A231" s="4">
        <v>230</v>
      </c>
      <c r="B231" s="5" t="s">
        <v>546</v>
      </c>
      <c r="C231" s="5" t="s">
        <v>547</v>
      </c>
      <c r="D231" s="5" t="s">
        <v>548</v>
      </c>
      <c r="E231" s="5" t="s">
        <v>317</v>
      </c>
      <c r="F231" s="5" t="s">
        <v>549</v>
      </c>
      <c r="G231" s="5"/>
    </row>
    <row r="232" spans="1:7" ht="18" hidden="1" customHeight="1">
      <c r="A232" s="12">
        <v>231</v>
      </c>
      <c r="B232" s="13" t="s">
        <v>550</v>
      </c>
      <c r="C232" s="13" t="s">
        <v>551</v>
      </c>
      <c r="D232" s="13" t="s">
        <v>552</v>
      </c>
      <c r="E232" s="13" t="s">
        <v>317</v>
      </c>
      <c r="F232" s="13" t="s">
        <v>553</v>
      </c>
      <c r="G232" s="13"/>
    </row>
    <row r="233" spans="1:7" ht="18" hidden="1" customHeight="1">
      <c r="A233" s="4">
        <v>232</v>
      </c>
      <c r="B233" s="5" t="s">
        <v>232</v>
      </c>
      <c r="C233" s="5" t="s">
        <v>233</v>
      </c>
      <c r="D233" s="5" t="s">
        <v>234</v>
      </c>
      <c r="E233" s="5" t="s">
        <v>317</v>
      </c>
      <c r="F233" s="5" t="s">
        <v>554</v>
      </c>
      <c r="G233" s="5"/>
    </row>
    <row r="234" spans="1:7" ht="18" hidden="1" customHeight="1">
      <c r="A234" s="12">
        <v>233</v>
      </c>
      <c r="B234" s="13" t="s">
        <v>555</v>
      </c>
      <c r="C234" s="13" t="s">
        <v>556</v>
      </c>
      <c r="D234" s="13" t="s">
        <v>557</v>
      </c>
      <c r="E234" s="13" t="s">
        <v>317</v>
      </c>
      <c r="F234" s="13" t="s">
        <v>558</v>
      </c>
      <c r="G234" s="13"/>
    </row>
    <row r="235" spans="1:7" ht="18" hidden="1" customHeight="1">
      <c r="A235" s="4">
        <v>234</v>
      </c>
      <c r="B235" s="5" t="s">
        <v>559</v>
      </c>
      <c r="C235" s="5" t="s">
        <v>560</v>
      </c>
      <c r="D235" s="5" t="s">
        <v>561</v>
      </c>
      <c r="E235" s="5" t="s">
        <v>317</v>
      </c>
      <c r="F235" s="5" t="s">
        <v>562</v>
      </c>
      <c r="G235" s="5"/>
    </row>
    <row r="236" spans="1:7" ht="18" hidden="1" customHeight="1">
      <c r="A236" s="12">
        <v>235</v>
      </c>
      <c r="B236" s="13" t="s">
        <v>563</v>
      </c>
      <c r="C236" s="13" t="s">
        <v>564</v>
      </c>
      <c r="D236" s="13" t="s">
        <v>564</v>
      </c>
      <c r="E236" s="13" t="s">
        <v>317</v>
      </c>
      <c r="F236" s="13" t="s">
        <v>565</v>
      </c>
      <c r="G236" s="13"/>
    </row>
    <row r="237" spans="1:7" ht="18" hidden="1" customHeight="1">
      <c r="A237" s="4">
        <v>236</v>
      </c>
      <c r="B237" s="5" t="s">
        <v>235</v>
      </c>
      <c r="C237" s="5" t="s">
        <v>236</v>
      </c>
      <c r="D237" s="5" t="s">
        <v>237</v>
      </c>
      <c r="E237" s="5" t="s">
        <v>317</v>
      </c>
      <c r="F237" s="5" t="s">
        <v>566</v>
      </c>
      <c r="G237" s="5"/>
    </row>
    <row r="238" spans="1:7" ht="18" hidden="1" customHeight="1">
      <c r="A238" s="12">
        <v>237</v>
      </c>
      <c r="B238" s="13" t="s">
        <v>238</v>
      </c>
      <c r="C238" s="13" t="s">
        <v>239</v>
      </c>
      <c r="D238" s="13" t="s">
        <v>240</v>
      </c>
      <c r="E238" s="13" t="s">
        <v>317</v>
      </c>
      <c r="F238" s="13" t="s">
        <v>567</v>
      </c>
      <c r="G238" s="13"/>
    </row>
    <row r="239" spans="1:7" ht="18" hidden="1" customHeight="1">
      <c r="A239" s="4">
        <v>238</v>
      </c>
      <c r="B239" s="5" t="s">
        <v>241</v>
      </c>
      <c r="C239" s="5" t="s">
        <v>242</v>
      </c>
      <c r="D239" s="5" t="s">
        <v>243</v>
      </c>
      <c r="E239" s="5" t="s">
        <v>317</v>
      </c>
      <c r="F239" s="5" t="s">
        <v>568</v>
      </c>
      <c r="G239" s="5"/>
    </row>
    <row r="240" spans="1:7" ht="18" hidden="1" customHeight="1">
      <c r="A240" s="12">
        <v>239</v>
      </c>
      <c r="B240" s="13" t="s">
        <v>569</v>
      </c>
      <c r="C240" s="13" t="s">
        <v>570</v>
      </c>
      <c r="D240" s="13" t="s">
        <v>571</v>
      </c>
      <c r="E240" s="13" t="s">
        <v>317</v>
      </c>
      <c r="F240" s="13" t="s">
        <v>572</v>
      </c>
      <c r="G240" s="13"/>
    </row>
    <row r="241" spans="1:7" ht="18" hidden="1" customHeight="1">
      <c r="A241" s="4">
        <v>240</v>
      </c>
      <c r="B241" s="5" t="s">
        <v>569</v>
      </c>
      <c r="C241" s="5" t="s">
        <v>570</v>
      </c>
      <c r="D241" s="5" t="s">
        <v>571</v>
      </c>
      <c r="E241" s="5" t="s">
        <v>317</v>
      </c>
      <c r="F241" s="5" t="s">
        <v>573</v>
      </c>
      <c r="G241" s="5"/>
    </row>
    <row r="242" spans="1:7" ht="18" hidden="1" customHeight="1">
      <c r="A242" s="12">
        <v>241</v>
      </c>
      <c r="B242" s="13" t="s">
        <v>244</v>
      </c>
      <c r="C242" s="13" t="s">
        <v>245</v>
      </c>
      <c r="D242" s="13" t="s">
        <v>246</v>
      </c>
      <c r="E242" s="13" t="s">
        <v>317</v>
      </c>
      <c r="F242" s="13" t="s">
        <v>574</v>
      </c>
      <c r="G242" s="13"/>
    </row>
    <row r="243" spans="1:7" ht="18" hidden="1" customHeight="1">
      <c r="A243" s="4">
        <v>242</v>
      </c>
      <c r="B243" s="5" t="s">
        <v>575</v>
      </c>
      <c r="C243" s="5" t="s">
        <v>576</v>
      </c>
      <c r="D243" s="5" t="s">
        <v>577</v>
      </c>
      <c r="E243" s="5" t="s">
        <v>317</v>
      </c>
      <c r="F243" s="5" t="s">
        <v>578</v>
      </c>
      <c r="G243" s="5"/>
    </row>
    <row r="244" spans="1:7" ht="18" hidden="1" customHeight="1">
      <c r="A244" s="12">
        <v>243</v>
      </c>
      <c r="B244" s="13" t="s">
        <v>247</v>
      </c>
      <c r="C244" s="13" t="s">
        <v>248</v>
      </c>
      <c r="D244" s="13" t="s">
        <v>249</v>
      </c>
      <c r="E244" s="13" t="s">
        <v>317</v>
      </c>
      <c r="F244" s="13" t="s">
        <v>579</v>
      </c>
      <c r="G244" s="13"/>
    </row>
    <row r="245" spans="1:7" ht="18" hidden="1" customHeight="1">
      <c r="A245" s="4">
        <v>244</v>
      </c>
      <c r="B245" s="5" t="s">
        <v>250</v>
      </c>
      <c r="C245" s="5" t="s">
        <v>251</v>
      </c>
      <c r="D245" s="5" t="s">
        <v>252</v>
      </c>
      <c r="E245" s="5" t="s">
        <v>317</v>
      </c>
      <c r="F245" s="5" t="s">
        <v>580</v>
      </c>
      <c r="G245" s="5"/>
    </row>
    <row r="246" spans="1:7" ht="18" hidden="1" customHeight="1">
      <c r="A246" s="12">
        <v>245</v>
      </c>
      <c r="B246" s="13" t="s">
        <v>253</v>
      </c>
      <c r="C246" s="13" t="s">
        <v>254</v>
      </c>
      <c r="D246" s="13" t="s">
        <v>255</v>
      </c>
      <c r="E246" s="13" t="s">
        <v>317</v>
      </c>
      <c r="F246" s="13" t="s">
        <v>581</v>
      </c>
      <c r="G246" s="13"/>
    </row>
    <row r="247" spans="1:7" ht="18" hidden="1" customHeight="1">
      <c r="A247" s="4">
        <v>246</v>
      </c>
      <c r="B247" s="5" t="s">
        <v>256</v>
      </c>
      <c r="C247" s="5" t="s">
        <v>257</v>
      </c>
      <c r="D247" s="5" t="s">
        <v>258</v>
      </c>
      <c r="E247" s="5" t="s">
        <v>317</v>
      </c>
      <c r="F247" s="5" t="s">
        <v>582</v>
      </c>
      <c r="G247" s="5"/>
    </row>
    <row r="248" spans="1:7" ht="18" hidden="1" customHeight="1">
      <c r="A248" s="12">
        <v>247</v>
      </c>
      <c r="B248" s="13" t="s">
        <v>259</v>
      </c>
      <c r="C248" s="13" t="s">
        <v>260</v>
      </c>
      <c r="D248" s="13" t="s">
        <v>261</v>
      </c>
      <c r="E248" s="13" t="s">
        <v>317</v>
      </c>
      <c r="F248" s="13" t="s">
        <v>583</v>
      </c>
      <c r="G248" s="13"/>
    </row>
    <row r="249" spans="1:7" ht="18" hidden="1" customHeight="1">
      <c r="A249" s="4">
        <v>248</v>
      </c>
      <c r="B249" s="5" t="s">
        <v>259</v>
      </c>
      <c r="C249" s="5" t="s">
        <v>260</v>
      </c>
      <c r="D249" s="5" t="s">
        <v>261</v>
      </c>
      <c r="E249" s="5" t="s">
        <v>317</v>
      </c>
      <c r="F249" s="5" t="s">
        <v>11</v>
      </c>
      <c r="G249" s="5"/>
    </row>
    <row r="250" spans="1:7" ht="18" hidden="1" customHeight="1">
      <c r="A250" s="12">
        <v>249</v>
      </c>
      <c r="B250" s="13" t="s">
        <v>262</v>
      </c>
      <c r="C250" s="13" t="s">
        <v>263</v>
      </c>
      <c r="D250" s="13" t="s">
        <v>264</v>
      </c>
      <c r="E250" s="13" t="s">
        <v>317</v>
      </c>
      <c r="F250" s="13" t="s">
        <v>584</v>
      </c>
      <c r="G250" s="13"/>
    </row>
    <row r="251" spans="1:7" ht="18" hidden="1" customHeight="1">
      <c r="A251" s="4">
        <v>250</v>
      </c>
      <c r="B251" s="5" t="s">
        <v>265</v>
      </c>
      <c r="C251" s="5" t="s">
        <v>266</v>
      </c>
      <c r="D251" s="5" t="s">
        <v>267</v>
      </c>
      <c r="E251" s="5" t="s">
        <v>317</v>
      </c>
      <c r="F251" s="5" t="s">
        <v>585</v>
      </c>
      <c r="G251" s="5"/>
    </row>
    <row r="252" spans="1:7" ht="18" hidden="1" customHeight="1">
      <c r="A252" s="12">
        <v>251</v>
      </c>
      <c r="B252" s="13" t="s">
        <v>586</v>
      </c>
      <c r="C252" s="13" t="s">
        <v>587</v>
      </c>
      <c r="D252" s="13" t="s">
        <v>587</v>
      </c>
      <c r="E252" s="13" t="s">
        <v>317</v>
      </c>
      <c r="F252" s="13" t="s">
        <v>588</v>
      </c>
      <c r="G252" s="13"/>
    </row>
    <row r="253" spans="1:7" ht="18" hidden="1" customHeight="1">
      <c r="A253" s="4">
        <v>252</v>
      </c>
      <c r="B253" s="5" t="s">
        <v>589</v>
      </c>
      <c r="C253" s="5" t="s">
        <v>590</v>
      </c>
      <c r="D253" s="5" t="s">
        <v>591</v>
      </c>
      <c r="E253" s="5" t="s">
        <v>317</v>
      </c>
      <c r="F253" s="5" t="s">
        <v>592</v>
      </c>
      <c r="G253" s="5"/>
    </row>
    <row r="254" spans="1:7" ht="18" hidden="1" customHeight="1">
      <c r="A254" s="12">
        <v>253</v>
      </c>
      <c r="B254" s="13" t="s">
        <v>593</v>
      </c>
      <c r="C254" s="13" t="s">
        <v>594</v>
      </c>
      <c r="D254" s="13" t="s">
        <v>595</v>
      </c>
      <c r="E254" s="13" t="s">
        <v>317</v>
      </c>
      <c r="F254" s="13" t="s">
        <v>596</v>
      </c>
      <c r="G254" s="13"/>
    </row>
    <row r="255" spans="1:7" ht="18" hidden="1" customHeight="1">
      <c r="A255" s="4">
        <v>254</v>
      </c>
      <c r="B255" s="5" t="s">
        <v>268</v>
      </c>
      <c r="C255" s="5" t="s">
        <v>269</v>
      </c>
      <c r="D255" s="5" t="s">
        <v>270</v>
      </c>
      <c r="E255" s="5" t="s">
        <v>317</v>
      </c>
      <c r="F255" s="5" t="s">
        <v>597</v>
      </c>
      <c r="G255" s="5"/>
    </row>
    <row r="256" spans="1:7" ht="18" hidden="1" customHeight="1">
      <c r="A256" s="12">
        <v>255</v>
      </c>
      <c r="B256" s="13" t="s">
        <v>268</v>
      </c>
      <c r="C256" s="13" t="s">
        <v>269</v>
      </c>
      <c r="D256" s="13" t="s">
        <v>270</v>
      </c>
      <c r="E256" s="13" t="s">
        <v>317</v>
      </c>
      <c r="F256" s="13" t="s">
        <v>598</v>
      </c>
      <c r="G256" s="13"/>
    </row>
    <row r="257" spans="1:7" ht="18" hidden="1" customHeight="1">
      <c r="A257" s="4">
        <v>256</v>
      </c>
      <c r="B257" s="5" t="s">
        <v>599</v>
      </c>
      <c r="C257" s="5" t="s">
        <v>600</v>
      </c>
      <c r="D257" s="5" t="s">
        <v>601</v>
      </c>
      <c r="E257" s="5" t="s">
        <v>317</v>
      </c>
      <c r="F257" s="5" t="s">
        <v>602</v>
      </c>
      <c r="G257" s="5"/>
    </row>
    <row r="258" spans="1:7" ht="18" hidden="1" customHeight="1">
      <c r="A258" s="12">
        <v>257</v>
      </c>
      <c r="B258" s="13" t="s">
        <v>271</v>
      </c>
      <c r="C258" s="13" t="s">
        <v>272</v>
      </c>
      <c r="D258" s="13" t="s">
        <v>273</v>
      </c>
      <c r="E258" s="13" t="s">
        <v>317</v>
      </c>
      <c r="F258" s="13" t="s">
        <v>603</v>
      </c>
      <c r="G258" s="13"/>
    </row>
    <row r="259" spans="1:7" ht="18" hidden="1" customHeight="1">
      <c r="A259" s="4">
        <v>258</v>
      </c>
      <c r="B259" s="5" t="s">
        <v>274</v>
      </c>
      <c r="C259" s="5" t="s">
        <v>275</v>
      </c>
      <c r="D259" s="5" t="s">
        <v>276</v>
      </c>
      <c r="E259" s="5" t="s">
        <v>317</v>
      </c>
      <c r="F259" s="5" t="s">
        <v>604</v>
      </c>
      <c r="G259" s="5"/>
    </row>
    <row r="260" spans="1:7" ht="18" hidden="1" customHeight="1">
      <c r="A260" s="12">
        <v>259</v>
      </c>
      <c r="B260" s="13" t="s">
        <v>277</v>
      </c>
      <c r="C260" s="13" t="s">
        <v>278</v>
      </c>
      <c r="D260" s="13" t="s">
        <v>278</v>
      </c>
      <c r="E260" s="13" t="s">
        <v>317</v>
      </c>
      <c r="F260" s="13" t="s">
        <v>605</v>
      </c>
      <c r="G260" s="13"/>
    </row>
    <row r="261" spans="1:7" ht="18" hidden="1" customHeight="1">
      <c r="A261" s="4">
        <v>260</v>
      </c>
      <c r="B261" s="5" t="s">
        <v>279</v>
      </c>
      <c r="C261" s="5" t="s">
        <v>280</v>
      </c>
      <c r="D261" s="5" t="s">
        <v>281</v>
      </c>
      <c r="E261" s="5" t="s">
        <v>317</v>
      </c>
      <c r="F261" s="5" t="s">
        <v>606</v>
      </c>
      <c r="G261" s="5"/>
    </row>
    <row r="262" spans="1:7" ht="18" hidden="1" customHeight="1">
      <c r="A262" s="12">
        <v>261</v>
      </c>
      <c r="B262" s="13" t="s">
        <v>282</v>
      </c>
      <c r="C262" s="13" t="s">
        <v>283</v>
      </c>
      <c r="D262" s="13" t="s">
        <v>284</v>
      </c>
      <c r="E262" s="13" t="s">
        <v>317</v>
      </c>
      <c r="F262" s="13" t="s">
        <v>607</v>
      </c>
      <c r="G262" s="13"/>
    </row>
    <row r="263" spans="1:7" ht="18" hidden="1" customHeight="1">
      <c r="A263" s="4">
        <v>262</v>
      </c>
      <c r="B263" s="5" t="s">
        <v>608</v>
      </c>
      <c r="C263" s="5" t="s">
        <v>609</v>
      </c>
      <c r="D263" s="5" t="s">
        <v>610</v>
      </c>
      <c r="E263" s="5" t="s">
        <v>317</v>
      </c>
      <c r="F263" s="5" t="s">
        <v>611</v>
      </c>
      <c r="G263" s="5"/>
    </row>
    <row r="264" spans="1:7" ht="18" hidden="1" customHeight="1">
      <c r="A264" s="12">
        <v>263</v>
      </c>
      <c r="B264" s="13" t="s">
        <v>285</v>
      </c>
      <c r="C264" s="13" t="s">
        <v>286</v>
      </c>
      <c r="D264" s="13" t="s">
        <v>287</v>
      </c>
      <c r="E264" s="13" t="s">
        <v>317</v>
      </c>
      <c r="F264" s="13" t="s">
        <v>612</v>
      </c>
      <c r="G264" s="13"/>
    </row>
    <row r="265" spans="1:7" ht="18" hidden="1" customHeight="1">
      <c r="A265" s="4">
        <v>264</v>
      </c>
      <c r="B265" s="5" t="s">
        <v>613</v>
      </c>
      <c r="C265" s="5" t="s">
        <v>614</v>
      </c>
      <c r="D265" s="5" t="s">
        <v>615</v>
      </c>
      <c r="E265" s="5" t="s">
        <v>317</v>
      </c>
      <c r="F265" s="5" t="s">
        <v>616</v>
      </c>
      <c r="G265" s="5"/>
    </row>
    <row r="266" spans="1:7" ht="18" hidden="1" customHeight="1">
      <c r="A266" s="12">
        <v>265</v>
      </c>
      <c r="B266" s="13" t="s">
        <v>288</v>
      </c>
      <c r="C266" s="13" t="s">
        <v>289</v>
      </c>
      <c r="D266" s="13" t="s">
        <v>290</v>
      </c>
      <c r="E266" s="13" t="s">
        <v>317</v>
      </c>
      <c r="F266" s="13" t="s">
        <v>617</v>
      </c>
      <c r="G266" s="13"/>
    </row>
    <row r="267" spans="1:7" ht="18" hidden="1" customHeight="1">
      <c r="A267" s="4">
        <v>266</v>
      </c>
      <c r="B267" s="5" t="s">
        <v>291</v>
      </c>
      <c r="C267" s="5" t="s">
        <v>292</v>
      </c>
      <c r="D267" s="5" t="s">
        <v>293</v>
      </c>
      <c r="E267" s="5" t="s">
        <v>317</v>
      </c>
      <c r="F267" s="5" t="s">
        <v>618</v>
      </c>
      <c r="G267" s="5"/>
    </row>
    <row r="268" spans="1:7" ht="18" hidden="1" customHeight="1">
      <c r="A268" s="12">
        <v>267</v>
      </c>
      <c r="B268" s="13" t="s">
        <v>294</v>
      </c>
      <c r="C268" s="13" t="s">
        <v>295</v>
      </c>
      <c r="D268" s="13" t="s">
        <v>296</v>
      </c>
      <c r="E268" s="13" t="s">
        <v>317</v>
      </c>
      <c r="F268" s="13" t="s">
        <v>619</v>
      </c>
      <c r="G268" s="13"/>
    </row>
    <row r="269" spans="1:7" ht="18" hidden="1" customHeight="1">
      <c r="A269" s="4">
        <v>268</v>
      </c>
      <c r="B269" s="5" t="s">
        <v>297</v>
      </c>
      <c r="C269" s="5" t="s">
        <v>298</v>
      </c>
      <c r="D269" s="5" t="s">
        <v>299</v>
      </c>
      <c r="E269" s="5" t="s">
        <v>317</v>
      </c>
      <c r="F269" s="5" t="s">
        <v>620</v>
      </c>
      <c r="G269" s="5"/>
    </row>
    <row r="270" spans="1:7" ht="18" hidden="1" customHeight="1">
      <c r="A270" s="12">
        <v>269</v>
      </c>
      <c r="B270" s="13" t="s">
        <v>300</v>
      </c>
      <c r="C270" s="13" t="s">
        <v>301</v>
      </c>
      <c r="D270" s="13" t="s">
        <v>302</v>
      </c>
      <c r="E270" s="13" t="s">
        <v>317</v>
      </c>
      <c r="F270" s="13" t="s">
        <v>621</v>
      </c>
      <c r="G270" s="13"/>
    </row>
    <row r="271" spans="1:7" ht="18" hidden="1" customHeight="1">
      <c r="A271" s="4">
        <v>270</v>
      </c>
      <c r="B271" s="5" t="s">
        <v>303</v>
      </c>
      <c r="C271" s="5" t="s">
        <v>304</v>
      </c>
      <c r="D271" s="5" t="s">
        <v>305</v>
      </c>
      <c r="E271" s="5" t="s">
        <v>317</v>
      </c>
      <c r="F271" s="5" t="s">
        <v>622</v>
      </c>
      <c r="G271" s="5"/>
    </row>
    <row r="272" spans="1:7" ht="18" hidden="1" customHeight="1">
      <c r="A272" s="12">
        <v>271</v>
      </c>
      <c r="B272" s="13" t="s">
        <v>623</v>
      </c>
      <c r="C272" s="13" t="s">
        <v>624</v>
      </c>
      <c r="D272" s="13" t="s">
        <v>625</v>
      </c>
      <c r="E272" s="13" t="s">
        <v>317</v>
      </c>
      <c r="F272" s="13" t="s">
        <v>626</v>
      </c>
      <c r="G272" s="13"/>
    </row>
    <row r="273" spans="1:7" ht="18" hidden="1" customHeight="1">
      <c r="A273" s="4">
        <v>272</v>
      </c>
      <c r="B273" s="5" t="s">
        <v>306</v>
      </c>
      <c r="C273" s="5" t="s">
        <v>307</v>
      </c>
      <c r="D273" s="5" t="s">
        <v>307</v>
      </c>
      <c r="E273" s="5" t="s">
        <v>317</v>
      </c>
      <c r="F273" s="5" t="s">
        <v>627</v>
      </c>
      <c r="G273" s="5"/>
    </row>
    <row r="274" spans="1:7" ht="18" hidden="1" customHeight="1">
      <c r="A274" s="12">
        <v>273</v>
      </c>
      <c r="B274" s="13" t="s">
        <v>308</v>
      </c>
      <c r="C274" s="13" t="s">
        <v>309</v>
      </c>
      <c r="D274" s="13" t="s">
        <v>310</v>
      </c>
      <c r="E274" s="13" t="s">
        <v>317</v>
      </c>
      <c r="F274" s="13" t="s">
        <v>628</v>
      </c>
      <c r="G274" s="13"/>
    </row>
    <row r="275" spans="1:7" ht="18" hidden="1" customHeight="1">
      <c r="A275" s="4">
        <v>274</v>
      </c>
      <c r="B275" s="5" t="s">
        <v>311</v>
      </c>
      <c r="C275" s="5" t="s">
        <v>312</v>
      </c>
      <c r="D275" s="5" t="s">
        <v>313</v>
      </c>
      <c r="E275" s="5" t="s">
        <v>317</v>
      </c>
      <c r="F275" s="5" t="s">
        <v>629</v>
      </c>
      <c r="G275" s="5"/>
    </row>
    <row r="276" spans="1:7" ht="18" hidden="1" customHeight="1">
      <c r="A276" s="12">
        <v>275</v>
      </c>
      <c r="B276" s="13" t="s">
        <v>270</v>
      </c>
      <c r="C276" s="13" t="s">
        <v>269</v>
      </c>
      <c r="D276" s="13" t="s">
        <v>268</v>
      </c>
      <c r="E276" s="13" t="s">
        <v>317</v>
      </c>
      <c r="F276" s="13" t="s">
        <v>598</v>
      </c>
      <c r="G276" s="13"/>
    </row>
    <row r="277" spans="1:7" ht="18" customHeight="1">
      <c r="A277" s="4">
        <v>276</v>
      </c>
      <c r="B277" s="5" t="s">
        <v>29</v>
      </c>
      <c r="C277" s="5" t="s">
        <v>30</v>
      </c>
      <c r="D277" s="5" t="s">
        <v>31</v>
      </c>
      <c r="E277" s="5" t="s">
        <v>630</v>
      </c>
      <c r="F277" s="5" t="s">
        <v>631</v>
      </c>
      <c r="G277" s="5"/>
    </row>
    <row r="278" spans="1:7" ht="18" customHeight="1">
      <c r="A278" s="14">
        <v>277</v>
      </c>
      <c r="B278" s="15" t="s">
        <v>33</v>
      </c>
      <c r="C278" s="15" t="s">
        <v>34</v>
      </c>
      <c r="D278" s="15" t="s">
        <v>35</v>
      </c>
      <c r="E278" s="15" t="s">
        <v>630</v>
      </c>
      <c r="F278" s="15" t="s">
        <v>632</v>
      </c>
      <c r="G278" s="15"/>
    </row>
    <row r="279" spans="1:7" ht="18" customHeight="1">
      <c r="A279" s="4">
        <v>278</v>
      </c>
      <c r="B279" s="5" t="s">
        <v>33</v>
      </c>
      <c r="C279" s="5" t="s">
        <v>34</v>
      </c>
      <c r="D279" s="5" t="s">
        <v>35</v>
      </c>
      <c r="E279" s="5" t="s">
        <v>630</v>
      </c>
      <c r="F279" s="5" t="s">
        <v>633</v>
      </c>
      <c r="G279" s="5"/>
    </row>
    <row r="280" spans="1:7" ht="18" customHeight="1">
      <c r="A280" s="14">
        <v>279</v>
      </c>
      <c r="B280" s="15" t="s">
        <v>36</v>
      </c>
      <c r="C280" s="15" t="s">
        <v>37</v>
      </c>
      <c r="D280" s="15" t="s">
        <v>38</v>
      </c>
      <c r="E280" s="15" t="s">
        <v>630</v>
      </c>
      <c r="F280" s="15" t="s">
        <v>634</v>
      </c>
      <c r="G280" s="15"/>
    </row>
    <row r="281" spans="1:7" ht="18" customHeight="1">
      <c r="A281" s="4">
        <v>280</v>
      </c>
      <c r="B281" s="5" t="s">
        <v>26</v>
      </c>
      <c r="C281" s="5" t="s">
        <v>27</v>
      </c>
      <c r="D281" s="5" t="s">
        <v>27</v>
      </c>
      <c r="E281" s="5" t="s">
        <v>630</v>
      </c>
      <c r="F281" s="5" t="s">
        <v>635</v>
      </c>
      <c r="G281" s="5"/>
    </row>
    <row r="282" spans="1:7" ht="18" customHeight="1">
      <c r="A282" s="14">
        <v>281</v>
      </c>
      <c r="B282" s="15" t="s">
        <v>26</v>
      </c>
      <c r="C282" s="15" t="s">
        <v>27</v>
      </c>
      <c r="D282" s="15" t="s">
        <v>27</v>
      </c>
      <c r="E282" s="15" t="s">
        <v>630</v>
      </c>
      <c r="F282" s="15" t="s">
        <v>636</v>
      </c>
      <c r="G282" s="15"/>
    </row>
    <row r="283" spans="1:7" ht="18" customHeight="1">
      <c r="A283" s="4">
        <v>282</v>
      </c>
      <c r="B283" s="5" t="s">
        <v>323</v>
      </c>
      <c r="C283" s="5" t="s">
        <v>324</v>
      </c>
      <c r="D283" s="5" t="s">
        <v>325</v>
      </c>
      <c r="E283" s="5" t="s">
        <v>630</v>
      </c>
      <c r="F283" s="5" t="s">
        <v>637</v>
      </c>
      <c r="G283" s="5"/>
    </row>
    <row r="284" spans="1:7" ht="18" customHeight="1">
      <c r="A284" s="14">
        <v>283</v>
      </c>
      <c r="B284" s="15" t="s">
        <v>327</v>
      </c>
      <c r="C284" s="15" t="s">
        <v>328</v>
      </c>
      <c r="D284" s="15" t="s">
        <v>329</v>
      </c>
      <c r="E284" s="15" t="s">
        <v>630</v>
      </c>
      <c r="F284" s="15" t="s">
        <v>638</v>
      </c>
      <c r="G284" s="15"/>
    </row>
    <row r="285" spans="1:7" ht="18" customHeight="1">
      <c r="A285" s="4">
        <v>284</v>
      </c>
      <c r="B285" s="5" t="s">
        <v>42</v>
      </c>
      <c r="C285" s="5" t="s">
        <v>43</v>
      </c>
      <c r="D285" s="5" t="s">
        <v>44</v>
      </c>
      <c r="E285" s="5" t="s">
        <v>630</v>
      </c>
      <c r="F285" s="5" t="s">
        <v>639</v>
      </c>
      <c r="G285" s="5"/>
    </row>
    <row r="286" spans="1:7" ht="18" customHeight="1">
      <c r="A286" s="14">
        <v>285</v>
      </c>
      <c r="B286" s="15" t="s">
        <v>45</v>
      </c>
      <c r="C286" s="15" t="s">
        <v>46</v>
      </c>
      <c r="D286" s="15" t="s">
        <v>47</v>
      </c>
      <c r="E286" s="15" t="s">
        <v>630</v>
      </c>
      <c r="F286" s="15" t="s">
        <v>640</v>
      </c>
      <c r="G286" s="15"/>
    </row>
    <row r="287" spans="1:7" ht="18" customHeight="1">
      <c r="A287" s="4">
        <v>286</v>
      </c>
      <c r="B287" s="5" t="s">
        <v>45</v>
      </c>
      <c r="C287" s="5" t="s">
        <v>46</v>
      </c>
      <c r="D287" s="5" t="s">
        <v>47</v>
      </c>
      <c r="E287" s="5" t="s">
        <v>630</v>
      </c>
      <c r="F287" s="5" t="s">
        <v>641</v>
      </c>
      <c r="G287" s="5"/>
    </row>
    <row r="288" spans="1:7" ht="18" customHeight="1">
      <c r="A288" s="14">
        <v>287</v>
      </c>
      <c r="B288" s="15" t="s">
        <v>45</v>
      </c>
      <c r="C288" s="15" t="s">
        <v>46</v>
      </c>
      <c r="D288" s="15" t="s">
        <v>47</v>
      </c>
      <c r="E288" s="15" t="s">
        <v>630</v>
      </c>
      <c r="F288" s="15" t="s">
        <v>11</v>
      </c>
      <c r="G288" s="15"/>
    </row>
    <row r="289" spans="1:7" ht="18" customHeight="1">
      <c r="A289" s="4">
        <v>288</v>
      </c>
      <c r="B289" s="5" t="s">
        <v>341</v>
      </c>
      <c r="C289" s="5" t="s">
        <v>342</v>
      </c>
      <c r="D289" s="5" t="s">
        <v>343</v>
      </c>
      <c r="E289" s="5" t="s">
        <v>630</v>
      </c>
      <c r="F289" s="5" t="s">
        <v>642</v>
      </c>
      <c r="G289" s="5"/>
    </row>
    <row r="290" spans="1:7" ht="18" customHeight="1">
      <c r="A290" s="14">
        <v>289</v>
      </c>
      <c r="B290" s="15" t="s">
        <v>48</v>
      </c>
      <c r="C290" s="15" t="s">
        <v>49</v>
      </c>
      <c r="D290" s="15" t="s">
        <v>50</v>
      </c>
      <c r="E290" s="15" t="s">
        <v>630</v>
      </c>
      <c r="F290" s="15" t="s">
        <v>643</v>
      </c>
      <c r="G290" s="15"/>
    </row>
    <row r="291" spans="1:7" ht="18" customHeight="1">
      <c r="A291" s="4">
        <v>290</v>
      </c>
      <c r="B291" s="5" t="s">
        <v>48</v>
      </c>
      <c r="C291" s="5" t="s">
        <v>49</v>
      </c>
      <c r="D291" s="5" t="s">
        <v>50</v>
      </c>
      <c r="E291" s="5" t="s">
        <v>630</v>
      </c>
      <c r="F291" s="5" t="s">
        <v>644</v>
      </c>
      <c r="G291" s="5"/>
    </row>
    <row r="292" spans="1:7" ht="18" customHeight="1">
      <c r="A292" s="14">
        <v>291</v>
      </c>
      <c r="B292" s="15" t="s">
        <v>51</v>
      </c>
      <c r="C292" s="15" t="s">
        <v>52</v>
      </c>
      <c r="D292" s="15" t="s">
        <v>53</v>
      </c>
      <c r="E292" s="15" t="s">
        <v>630</v>
      </c>
      <c r="F292" s="15" t="s">
        <v>645</v>
      </c>
      <c r="G292" s="15"/>
    </row>
    <row r="293" spans="1:7" ht="18" customHeight="1">
      <c r="A293" s="4">
        <v>292</v>
      </c>
      <c r="B293" s="5" t="s">
        <v>57</v>
      </c>
      <c r="C293" s="5" t="s">
        <v>58</v>
      </c>
      <c r="D293" s="5" t="s">
        <v>59</v>
      </c>
      <c r="E293" s="5" t="s">
        <v>630</v>
      </c>
      <c r="F293" s="5" t="s">
        <v>646</v>
      </c>
      <c r="G293" s="5"/>
    </row>
    <row r="294" spans="1:7" ht="18" customHeight="1">
      <c r="A294" s="14">
        <v>293</v>
      </c>
      <c r="B294" s="15" t="s">
        <v>57</v>
      </c>
      <c r="C294" s="15" t="s">
        <v>58</v>
      </c>
      <c r="D294" s="15" t="s">
        <v>59</v>
      </c>
      <c r="E294" s="15" t="s">
        <v>630</v>
      </c>
      <c r="F294" s="15" t="s">
        <v>647</v>
      </c>
      <c r="G294" s="15"/>
    </row>
    <row r="295" spans="1:7" ht="18" customHeight="1">
      <c r="A295" s="4">
        <v>294</v>
      </c>
      <c r="B295" s="5" t="s">
        <v>60</v>
      </c>
      <c r="C295" s="5" t="s">
        <v>61</v>
      </c>
      <c r="D295" s="5" t="s">
        <v>62</v>
      </c>
      <c r="E295" s="5" t="s">
        <v>630</v>
      </c>
      <c r="F295" s="5" t="s">
        <v>648</v>
      </c>
      <c r="G295" s="5"/>
    </row>
    <row r="296" spans="1:7" ht="18" customHeight="1">
      <c r="A296" s="14">
        <v>295</v>
      </c>
      <c r="B296" s="15" t="s">
        <v>350</v>
      </c>
      <c r="C296" s="15" t="s">
        <v>351</v>
      </c>
      <c r="D296" s="15" t="s">
        <v>352</v>
      </c>
      <c r="E296" s="15" t="s">
        <v>630</v>
      </c>
      <c r="F296" s="15" t="s">
        <v>649</v>
      </c>
      <c r="G296" s="15"/>
    </row>
    <row r="297" spans="1:7" ht="18" customHeight="1">
      <c r="A297" s="4">
        <v>296</v>
      </c>
      <c r="B297" s="5" t="s">
        <v>358</v>
      </c>
      <c r="C297" s="5" t="s">
        <v>359</v>
      </c>
      <c r="D297" s="5" t="s">
        <v>360</v>
      </c>
      <c r="E297" s="5" t="s">
        <v>630</v>
      </c>
      <c r="F297" s="5" t="s">
        <v>650</v>
      </c>
      <c r="G297" s="5"/>
    </row>
    <row r="298" spans="1:7" ht="18" customHeight="1">
      <c r="A298" s="14">
        <v>297</v>
      </c>
      <c r="B298" s="15" t="s">
        <v>358</v>
      </c>
      <c r="C298" s="15" t="s">
        <v>359</v>
      </c>
      <c r="D298" s="15" t="s">
        <v>360</v>
      </c>
      <c r="E298" s="15" t="s">
        <v>630</v>
      </c>
      <c r="F298" s="15" t="s">
        <v>651</v>
      </c>
      <c r="G298" s="15"/>
    </row>
    <row r="299" spans="1:7" ht="18" customHeight="1">
      <c r="A299" s="4">
        <v>298</v>
      </c>
      <c r="B299" s="5" t="s">
        <v>63</v>
      </c>
      <c r="C299" s="5" t="s">
        <v>64</v>
      </c>
      <c r="D299" s="5" t="s">
        <v>65</v>
      </c>
      <c r="E299" s="5" t="s">
        <v>630</v>
      </c>
      <c r="F299" s="5" t="s">
        <v>652</v>
      </c>
      <c r="G299" s="5"/>
    </row>
    <row r="300" spans="1:7" ht="18" customHeight="1">
      <c r="A300" s="14">
        <v>299</v>
      </c>
      <c r="B300" s="15" t="s">
        <v>63</v>
      </c>
      <c r="C300" s="15" t="s">
        <v>64</v>
      </c>
      <c r="D300" s="15" t="s">
        <v>65</v>
      </c>
      <c r="E300" s="15" t="s">
        <v>630</v>
      </c>
      <c r="F300" s="15" t="s">
        <v>653</v>
      </c>
      <c r="G300" s="15"/>
    </row>
    <row r="301" spans="1:7" ht="18" customHeight="1">
      <c r="A301" s="4">
        <v>300</v>
      </c>
      <c r="B301" s="5" t="s">
        <v>363</v>
      </c>
      <c r="C301" s="5" t="s">
        <v>364</v>
      </c>
      <c r="D301" s="5" t="s">
        <v>365</v>
      </c>
      <c r="E301" s="5" t="s">
        <v>630</v>
      </c>
      <c r="F301" s="5" t="s">
        <v>654</v>
      </c>
      <c r="G301" s="5"/>
    </row>
    <row r="302" spans="1:7" ht="18" customHeight="1">
      <c r="A302" s="14">
        <v>301</v>
      </c>
      <c r="B302" s="15" t="s">
        <v>66</v>
      </c>
      <c r="C302" s="15" t="s">
        <v>67</v>
      </c>
      <c r="D302" s="15" t="s">
        <v>68</v>
      </c>
      <c r="E302" s="15" t="s">
        <v>630</v>
      </c>
      <c r="F302" s="15" t="s">
        <v>655</v>
      </c>
      <c r="G302" s="15"/>
    </row>
    <row r="303" spans="1:7" ht="18" customHeight="1">
      <c r="A303" s="4">
        <v>302</v>
      </c>
      <c r="B303" s="5" t="s">
        <v>368</v>
      </c>
      <c r="C303" s="5" t="s">
        <v>369</v>
      </c>
      <c r="D303" s="5" t="s">
        <v>369</v>
      </c>
      <c r="E303" s="5" t="s">
        <v>630</v>
      </c>
      <c r="F303" s="5" t="s">
        <v>656</v>
      </c>
      <c r="G303" s="5"/>
    </row>
    <row r="304" spans="1:7" ht="18" customHeight="1">
      <c r="A304" s="14">
        <v>303</v>
      </c>
      <c r="B304" s="15" t="s">
        <v>69</v>
      </c>
      <c r="C304" s="15" t="s">
        <v>70</v>
      </c>
      <c r="D304" s="15" t="s">
        <v>71</v>
      </c>
      <c r="E304" s="15" t="s">
        <v>630</v>
      </c>
      <c r="F304" s="15" t="s">
        <v>657</v>
      </c>
      <c r="G304" s="15"/>
    </row>
    <row r="305" spans="1:7" ht="18" customHeight="1">
      <c r="A305" s="4">
        <v>304</v>
      </c>
      <c r="B305" s="5" t="s">
        <v>72</v>
      </c>
      <c r="C305" s="5" t="s">
        <v>73</v>
      </c>
      <c r="D305" s="5" t="s">
        <v>74</v>
      </c>
      <c r="E305" s="5" t="s">
        <v>630</v>
      </c>
      <c r="F305" s="5" t="s">
        <v>658</v>
      </c>
      <c r="G305" s="5"/>
    </row>
    <row r="306" spans="1:7" ht="18" customHeight="1">
      <c r="A306" s="14">
        <v>305</v>
      </c>
      <c r="B306" s="15" t="s">
        <v>77</v>
      </c>
      <c r="C306" s="15" t="s">
        <v>78</v>
      </c>
      <c r="D306" s="15" t="s">
        <v>79</v>
      </c>
      <c r="E306" s="15" t="s">
        <v>630</v>
      </c>
      <c r="F306" s="15" t="s">
        <v>659</v>
      </c>
      <c r="G306" s="15"/>
    </row>
    <row r="307" spans="1:7" ht="18" customHeight="1">
      <c r="A307" s="4">
        <v>306</v>
      </c>
      <c r="B307" s="5" t="s">
        <v>80</v>
      </c>
      <c r="C307" s="5" t="s">
        <v>81</v>
      </c>
      <c r="D307" s="5" t="s">
        <v>82</v>
      </c>
      <c r="E307" s="5" t="s">
        <v>630</v>
      </c>
      <c r="F307" s="5" t="s">
        <v>660</v>
      </c>
      <c r="G307" s="5"/>
    </row>
    <row r="308" spans="1:7" ht="18" customHeight="1">
      <c r="A308" s="14">
        <v>307</v>
      </c>
      <c r="B308" s="15" t="s">
        <v>7</v>
      </c>
      <c r="C308" s="15" t="s">
        <v>8</v>
      </c>
      <c r="D308" s="15" t="s">
        <v>9</v>
      </c>
      <c r="E308" s="15" t="s">
        <v>630</v>
      </c>
      <c r="F308" s="15" t="s">
        <v>661</v>
      </c>
      <c r="G308" s="15"/>
    </row>
    <row r="309" spans="1:7" ht="18" customHeight="1">
      <c r="A309" s="4">
        <v>308</v>
      </c>
      <c r="B309" s="5" t="s">
        <v>7</v>
      </c>
      <c r="C309" s="5" t="s">
        <v>8</v>
      </c>
      <c r="D309" s="5" t="s">
        <v>9</v>
      </c>
      <c r="E309" s="5" t="s">
        <v>630</v>
      </c>
      <c r="F309" s="5" t="s">
        <v>662</v>
      </c>
      <c r="G309" s="5"/>
    </row>
    <row r="310" spans="1:7" ht="18" customHeight="1">
      <c r="A310" s="14">
        <v>309</v>
      </c>
      <c r="B310" s="15" t="s">
        <v>86</v>
      </c>
      <c r="C310" s="15" t="s">
        <v>87</v>
      </c>
      <c r="D310" s="15" t="s">
        <v>88</v>
      </c>
      <c r="E310" s="15" t="s">
        <v>630</v>
      </c>
      <c r="F310" s="15" t="s">
        <v>663</v>
      </c>
      <c r="G310" s="15"/>
    </row>
    <row r="311" spans="1:7" ht="18" customHeight="1">
      <c r="A311" s="4">
        <v>310</v>
      </c>
      <c r="B311" s="5" t="s">
        <v>86</v>
      </c>
      <c r="C311" s="5" t="s">
        <v>87</v>
      </c>
      <c r="D311" s="5" t="s">
        <v>88</v>
      </c>
      <c r="E311" s="5" t="s">
        <v>630</v>
      </c>
      <c r="F311" s="5" t="s">
        <v>664</v>
      </c>
      <c r="G311" s="5"/>
    </row>
    <row r="312" spans="1:7" ht="18" customHeight="1">
      <c r="A312" s="14">
        <v>311</v>
      </c>
      <c r="B312" s="15" t="s">
        <v>387</v>
      </c>
      <c r="C312" s="15" t="s">
        <v>388</v>
      </c>
      <c r="D312" s="15" t="s">
        <v>389</v>
      </c>
      <c r="E312" s="15" t="s">
        <v>630</v>
      </c>
      <c r="F312" s="15" t="s">
        <v>665</v>
      </c>
      <c r="G312" s="15"/>
    </row>
    <row r="313" spans="1:7" ht="18" customHeight="1">
      <c r="A313" s="4">
        <v>312</v>
      </c>
      <c r="B313" s="5" t="s">
        <v>89</v>
      </c>
      <c r="C313" s="5" t="s">
        <v>90</v>
      </c>
      <c r="D313" s="5" t="s">
        <v>91</v>
      </c>
      <c r="E313" s="5" t="s">
        <v>630</v>
      </c>
      <c r="F313" s="5" t="s">
        <v>666</v>
      </c>
      <c r="G313" s="5"/>
    </row>
    <row r="314" spans="1:7" ht="18" customHeight="1">
      <c r="A314" s="14">
        <v>313</v>
      </c>
      <c r="B314" s="15" t="s">
        <v>89</v>
      </c>
      <c r="C314" s="15" t="s">
        <v>90</v>
      </c>
      <c r="D314" s="15" t="s">
        <v>91</v>
      </c>
      <c r="E314" s="15" t="s">
        <v>630</v>
      </c>
      <c r="F314" s="15" t="s">
        <v>667</v>
      </c>
      <c r="G314" s="15"/>
    </row>
    <row r="315" spans="1:7" ht="18" customHeight="1">
      <c r="A315" s="4">
        <v>314</v>
      </c>
      <c r="B315" s="5" t="s">
        <v>92</v>
      </c>
      <c r="C315" s="5" t="s">
        <v>93</v>
      </c>
      <c r="D315" s="5" t="s">
        <v>94</v>
      </c>
      <c r="E315" s="5" t="s">
        <v>630</v>
      </c>
      <c r="F315" s="5" t="s">
        <v>668</v>
      </c>
      <c r="G315" s="5"/>
    </row>
    <row r="316" spans="1:7" ht="18" customHeight="1">
      <c r="A316" s="14">
        <v>315</v>
      </c>
      <c r="B316" s="15" t="s">
        <v>95</v>
      </c>
      <c r="C316" s="15" t="s">
        <v>96</v>
      </c>
      <c r="D316" s="15" t="s">
        <v>97</v>
      </c>
      <c r="E316" s="15" t="s">
        <v>630</v>
      </c>
      <c r="F316" s="15" t="s">
        <v>669</v>
      </c>
      <c r="G316" s="15"/>
    </row>
    <row r="317" spans="1:7" ht="18" customHeight="1">
      <c r="A317" s="4">
        <v>316</v>
      </c>
      <c r="B317" s="5" t="s">
        <v>95</v>
      </c>
      <c r="C317" s="5" t="s">
        <v>96</v>
      </c>
      <c r="D317" s="5" t="s">
        <v>97</v>
      </c>
      <c r="E317" s="5" t="s">
        <v>630</v>
      </c>
      <c r="F317" s="5" t="s">
        <v>670</v>
      </c>
      <c r="G317" s="5"/>
    </row>
    <row r="318" spans="1:7" ht="18" customHeight="1">
      <c r="A318" s="14">
        <v>317</v>
      </c>
      <c r="B318" s="15" t="s">
        <v>101</v>
      </c>
      <c r="C318" s="15" t="s">
        <v>102</v>
      </c>
      <c r="D318" s="15" t="s">
        <v>103</v>
      </c>
      <c r="E318" s="15" t="s">
        <v>630</v>
      </c>
      <c r="F318" s="15" t="s">
        <v>671</v>
      </c>
      <c r="G318" s="15"/>
    </row>
    <row r="319" spans="1:7" ht="18" customHeight="1">
      <c r="A319" s="4">
        <v>318</v>
      </c>
      <c r="B319" s="5" t="s">
        <v>101</v>
      </c>
      <c r="C319" s="5" t="s">
        <v>102</v>
      </c>
      <c r="D319" s="5" t="s">
        <v>103</v>
      </c>
      <c r="E319" s="5" t="s">
        <v>630</v>
      </c>
      <c r="F319" s="5" t="s">
        <v>672</v>
      </c>
      <c r="G319" s="5"/>
    </row>
    <row r="320" spans="1:7" ht="18" customHeight="1">
      <c r="A320" s="14">
        <v>319</v>
      </c>
      <c r="B320" s="15" t="s">
        <v>405</v>
      </c>
      <c r="C320" s="15" t="s">
        <v>406</v>
      </c>
      <c r="D320" s="15" t="s">
        <v>407</v>
      </c>
      <c r="E320" s="15" t="s">
        <v>630</v>
      </c>
      <c r="F320" s="15" t="s">
        <v>673</v>
      </c>
      <c r="G320" s="15"/>
    </row>
    <row r="321" spans="1:7" ht="18" customHeight="1">
      <c r="A321" s="4">
        <v>320</v>
      </c>
      <c r="B321" s="5" t="s">
        <v>104</v>
      </c>
      <c r="C321" s="5" t="s">
        <v>105</v>
      </c>
      <c r="D321" s="5" t="s">
        <v>106</v>
      </c>
      <c r="E321" s="5" t="s">
        <v>630</v>
      </c>
      <c r="F321" s="5" t="s">
        <v>674</v>
      </c>
      <c r="G321" s="5"/>
    </row>
    <row r="322" spans="1:7" ht="18" customHeight="1">
      <c r="A322" s="14">
        <v>321</v>
      </c>
      <c r="B322" s="15" t="s">
        <v>110</v>
      </c>
      <c r="C322" s="15" t="s">
        <v>111</v>
      </c>
      <c r="D322" s="15" t="s">
        <v>112</v>
      </c>
      <c r="E322" s="15" t="s">
        <v>630</v>
      </c>
      <c r="F322" s="15" t="s">
        <v>675</v>
      </c>
      <c r="G322" s="15"/>
    </row>
    <row r="323" spans="1:7" ht="18" customHeight="1">
      <c r="A323" s="4">
        <v>322</v>
      </c>
      <c r="B323" s="5" t="s">
        <v>110</v>
      </c>
      <c r="C323" s="5" t="s">
        <v>111</v>
      </c>
      <c r="D323" s="5" t="s">
        <v>112</v>
      </c>
      <c r="E323" s="5" t="s">
        <v>630</v>
      </c>
      <c r="F323" s="5" t="s">
        <v>676</v>
      </c>
      <c r="G323" s="5"/>
    </row>
    <row r="324" spans="1:7" ht="18" customHeight="1">
      <c r="A324" s="14">
        <v>323</v>
      </c>
      <c r="B324" s="15" t="s">
        <v>113</v>
      </c>
      <c r="C324" s="15" t="s">
        <v>114</v>
      </c>
      <c r="D324" s="15" t="s">
        <v>115</v>
      </c>
      <c r="E324" s="15" t="s">
        <v>630</v>
      </c>
      <c r="F324" s="15" t="s">
        <v>677</v>
      </c>
      <c r="G324" s="15"/>
    </row>
    <row r="325" spans="1:7" ht="18" customHeight="1">
      <c r="A325" s="4">
        <v>324</v>
      </c>
      <c r="B325" s="5" t="s">
        <v>116</v>
      </c>
      <c r="C325" s="5" t="s">
        <v>117</v>
      </c>
      <c r="D325" s="5" t="s">
        <v>118</v>
      </c>
      <c r="E325" s="5" t="s">
        <v>630</v>
      </c>
      <c r="F325" s="5" t="s">
        <v>678</v>
      </c>
      <c r="G325" s="5"/>
    </row>
    <row r="326" spans="1:7" ht="18" customHeight="1">
      <c r="A326" s="14">
        <v>325</v>
      </c>
      <c r="B326" s="15" t="s">
        <v>119</v>
      </c>
      <c r="C326" s="15" t="s">
        <v>120</v>
      </c>
      <c r="D326" s="15" t="s">
        <v>121</v>
      </c>
      <c r="E326" s="15" t="s">
        <v>630</v>
      </c>
      <c r="F326" s="15" t="s">
        <v>679</v>
      </c>
      <c r="G326" s="15"/>
    </row>
    <row r="327" spans="1:7" ht="18" customHeight="1">
      <c r="A327" s="4">
        <v>326</v>
      </c>
      <c r="B327" s="5" t="s">
        <v>122</v>
      </c>
      <c r="C327" s="5" t="s">
        <v>123</v>
      </c>
      <c r="D327" s="5" t="s">
        <v>124</v>
      </c>
      <c r="E327" s="5" t="s">
        <v>630</v>
      </c>
      <c r="F327" s="5" t="s">
        <v>11</v>
      </c>
      <c r="G327" s="5"/>
    </row>
    <row r="328" spans="1:7" ht="18" customHeight="1">
      <c r="A328" s="14">
        <v>327</v>
      </c>
      <c r="B328" s="15" t="s">
        <v>125</v>
      </c>
      <c r="C328" s="15" t="s">
        <v>126</v>
      </c>
      <c r="D328" s="15" t="s">
        <v>126</v>
      </c>
      <c r="E328" s="15" t="s">
        <v>630</v>
      </c>
      <c r="F328" s="15" t="s">
        <v>680</v>
      </c>
      <c r="G328" s="15"/>
    </row>
    <row r="329" spans="1:7" ht="18" customHeight="1">
      <c r="A329" s="4">
        <v>328</v>
      </c>
      <c r="B329" s="5" t="s">
        <v>127</v>
      </c>
      <c r="C329" s="5" t="s">
        <v>128</v>
      </c>
      <c r="D329" s="5" t="s">
        <v>129</v>
      </c>
      <c r="E329" s="5" t="s">
        <v>630</v>
      </c>
      <c r="F329" s="5" t="s">
        <v>681</v>
      </c>
      <c r="G329" s="5"/>
    </row>
    <row r="330" spans="1:7" ht="18" customHeight="1">
      <c r="A330" s="14">
        <v>329</v>
      </c>
      <c r="B330" s="15" t="s">
        <v>134</v>
      </c>
      <c r="C330" s="15" t="s">
        <v>135</v>
      </c>
      <c r="D330" s="15" t="s">
        <v>136</v>
      </c>
      <c r="E330" s="15" t="s">
        <v>630</v>
      </c>
      <c r="F330" s="15" t="s">
        <v>682</v>
      </c>
      <c r="G330" s="15"/>
    </row>
    <row r="331" spans="1:7" ht="18" customHeight="1">
      <c r="A331" s="4">
        <v>330</v>
      </c>
      <c r="B331" s="5" t="s">
        <v>137</v>
      </c>
      <c r="C331" s="5" t="s">
        <v>138</v>
      </c>
      <c r="D331" s="5" t="s">
        <v>138</v>
      </c>
      <c r="E331" s="5" t="s">
        <v>630</v>
      </c>
      <c r="F331" s="5" t="s">
        <v>683</v>
      </c>
      <c r="G331" s="5"/>
    </row>
    <row r="332" spans="1:7" ht="18" customHeight="1">
      <c r="A332" s="14">
        <v>331</v>
      </c>
      <c r="B332" s="15" t="s">
        <v>137</v>
      </c>
      <c r="C332" s="15" t="s">
        <v>138</v>
      </c>
      <c r="D332" s="15" t="s">
        <v>138</v>
      </c>
      <c r="E332" s="15" t="s">
        <v>630</v>
      </c>
      <c r="F332" s="15" t="s">
        <v>684</v>
      </c>
      <c r="G332" s="15"/>
    </row>
    <row r="333" spans="1:7" ht="18" customHeight="1">
      <c r="A333" s="4">
        <v>332</v>
      </c>
      <c r="B333" s="5" t="s">
        <v>433</v>
      </c>
      <c r="C333" s="5" t="s">
        <v>434</v>
      </c>
      <c r="D333" s="5" t="s">
        <v>435</v>
      </c>
      <c r="E333" s="5" t="s">
        <v>630</v>
      </c>
      <c r="F333" s="5" t="s">
        <v>685</v>
      </c>
      <c r="G333" s="5"/>
    </row>
    <row r="334" spans="1:7" ht="18" customHeight="1">
      <c r="A334" s="14">
        <v>333</v>
      </c>
      <c r="B334" s="15" t="s">
        <v>145</v>
      </c>
      <c r="C334" s="15" t="s">
        <v>146</v>
      </c>
      <c r="D334" s="15" t="s">
        <v>147</v>
      </c>
      <c r="E334" s="15" t="s">
        <v>630</v>
      </c>
      <c r="F334" s="15" t="s">
        <v>686</v>
      </c>
      <c r="G334" s="15"/>
    </row>
    <row r="335" spans="1:7" ht="18" customHeight="1">
      <c r="A335" s="4">
        <v>334</v>
      </c>
      <c r="B335" s="5" t="s">
        <v>149</v>
      </c>
      <c r="C335" s="5" t="s">
        <v>150</v>
      </c>
      <c r="D335" s="5" t="s">
        <v>151</v>
      </c>
      <c r="E335" s="5" t="s">
        <v>630</v>
      </c>
      <c r="F335" s="5" t="s">
        <v>687</v>
      </c>
      <c r="G335" s="5"/>
    </row>
    <row r="336" spans="1:7" ht="18" customHeight="1">
      <c r="A336" s="14">
        <v>335</v>
      </c>
      <c r="B336" s="15" t="s">
        <v>156</v>
      </c>
      <c r="C336" s="15" t="s">
        <v>157</v>
      </c>
      <c r="D336" s="15" t="s">
        <v>157</v>
      </c>
      <c r="E336" s="15" t="s">
        <v>630</v>
      </c>
      <c r="F336" s="15" t="s">
        <v>688</v>
      </c>
      <c r="G336" s="15"/>
    </row>
    <row r="337" spans="1:7" ht="18" customHeight="1">
      <c r="A337" s="4">
        <v>336</v>
      </c>
      <c r="B337" s="5" t="s">
        <v>161</v>
      </c>
      <c r="C337" s="5" t="s">
        <v>162</v>
      </c>
      <c r="D337" s="5" t="s">
        <v>162</v>
      </c>
      <c r="E337" s="5" t="s">
        <v>630</v>
      </c>
      <c r="F337" s="5" t="s">
        <v>689</v>
      </c>
      <c r="G337" s="5"/>
    </row>
    <row r="338" spans="1:7" ht="18" customHeight="1">
      <c r="A338" s="14">
        <v>337</v>
      </c>
      <c r="B338" s="15" t="s">
        <v>460</v>
      </c>
      <c r="C338" s="15" t="s">
        <v>461</v>
      </c>
      <c r="D338" s="15" t="s">
        <v>462</v>
      </c>
      <c r="E338" s="15" t="s">
        <v>630</v>
      </c>
      <c r="F338" s="15" t="s">
        <v>690</v>
      </c>
      <c r="G338" s="15"/>
    </row>
    <row r="339" spans="1:7" ht="18" customHeight="1">
      <c r="A339" s="4">
        <v>338</v>
      </c>
      <c r="B339" s="5" t="s">
        <v>464</v>
      </c>
      <c r="C339" s="5" t="s">
        <v>465</v>
      </c>
      <c r="D339" s="5" t="s">
        <v>466</v>
      </c>
      <c r="E339" s="5" t="s">
        <v>630</v>
      </c>
      <c r="F339" s="5" t="s">
        <v>691</v>
      </c>
      <c r="G339" s="5"/>
    </row>
    <row r="340" spans="1:7" ht="18" customHeight="1">
      <c r="A340" s="14">
        <v>339</v>
      </c>
      <c r="B340" s="15" t="s">
        <v>163</v>
      </c>
      <c r="C340" s="15" t="s">
        <v>164</v>
      </c>
      <c r="D340" s="15" t="s">
        <v>165</v>
      </c>
      <c r="E340" s="15" t="s">
        <v>630</v>
      </c>
      <c r="F340" s="15" t="s">
        <v>692</v>
      </c>
      <c r="G340" s="15"/>
    </row>
    <row r="341" spans="1:7" ht="18" customHeight="1">
      <c r="A341" s="4">
        <v>340</v>
      </c>
      <c r="B341" s="5" t="s">
        <v>163</v>
      </c>
      <c r="C341" s="5" t="s">
        <v>164</v>
      </c>
      <c r="D341" s="5" t="s">
        <v>165</v>
      </c>
      <c r="E341" s="5" t="s">
        <v>630</v>
      </c>
      <c r="F341" s="5" t="s">
        <v>693</v>
      </c>
      <c r="G341" s="5"/>
    </row>
    <row r="342" spans="1:7" ht="18" customHeight="1">
      <c r="A342" s="14">
        <v>341</v>
      </c>
      <c r="B342" s="15" t="s">
        <v>166</v>
      </c>
      <c r="C342" s="15" t="s">
        <v>167</v>
      </c>
      <c r="D342" s="15" t="s">
        <v>168</v>
      </c>
      <c r="E342" s="15" t="s">
        <v>630</v>
      </c>
      <c r="F342" s="15" t="s">
        <v>694</v>
      </c>
      <c r="G342" s="15"/>
    </row>
    <row r="343" spans="1:7" ht="18" customHeight="1">
      <c r="A343" s="4">
        <v>342</v>
      </c>
      <c r="B343" s="5" t="s">
        <v>170</v>
      </c>
      <c r="C343" s="5" t="s">
        <v>171</v>
      </c>
      <c r="D343" s="5" t="s">
        <v>172</v>
      </c>
      <c r="E343" s="5" t="s">
        <v>630</v>
      </c>
      <c r="F343" s="5" t="s">
        <v>695</v>
      </c>
      <c r="G343" s="5"/>
    </row>
    <row r="344" spans="1:7" ht="18" customHeight="1">
      <c r="A344" s="14">
        <v>343</v>
      </c>
      <c r="B344" s="15" t="s">
        <v>173</v>
      </c>
      <c r="C344" s="15" t="s">
        <v>174</v>
      </c>
      <c r="D344" s="15" t="s">
        <v>175</v>
      </c>
      <c r="E344" s="15" t="s">
        <v>630</v>
      </c>
      <c r="F344" s="15" t="s">
        <v>696</v>
      </c>
      <c r="G344" s="15"/>
    </row>
    <row r="345" spans="1:7" ht="18" customHeight="1">
      <c r="A345" s="4">
        <v>344</v>
      </c>
      <c r="B345" s="5" t="s">
        <v>173</v>
      </c>
      <c r="C345" s="5" t="s">
        <v>174</v>
      </c>
      <c r="D345" s="5" t="s">
        <v>175</v>
      </c>
      <c r="E345" s="5" t="s">
        <v>630</v>
      </c>
      <c r="F345" s="5" t="s">
        <v>697</v>
      </c>
      <c r="G345" s="5"/>
    </row>
    <row r="346" spans="1:7" ht="18" customHeight="1">
      <c r="A346" s="14">
        <v>345</v>
      </c>
      <c r="B346" s="15" t="s">
        <v>182</v>
      </c>
      <c r="C346" s="15" t="s">
        <v>183</v>
      </c>
      <c r="D346" s="15" t="s">
        <v>184</v>
      </c>
      <c r="E346" s="15" t="s">
        <v>630</v>
      </c>
      <c r="F346" s="15" t="s">
        <v>698</v>
      </c>
      <c r="G346" s="15"/>
    </row>
    <row r="347" spans="1:7" ht="18" customHeight="1">
      <c r="A347" s="4">
        <v>346</v>
      </c>
      <c r="B347" s="5" t="s">
        <v>185</v>
      </c>
      <c r="C347" s="5" t="s">
        <v>186</v>
      </c>
      <c r="D347" s="5" t="s">
        <v>187</v>
      </c>
      <c r="E347" s="5" t="s">
        <v>630</v>
      </c>
      <c r="F347" s="5" t="s">
        <v>699</v>
      </c>
      <c r="G347" s="5"/>
    </row>
    <row r="348" spans="1:7" ht="18" customHeight="1">
      <c r="A348" s="14">
        <v>347</v>
      </c>
      <c r="B348" s="15" t="s">
        <v>188</v>
      </c>
      <c r="C348" s="15" t="s">
        <v>189</v>
      </c>
      <c r="D348" s="15" t="s">
        <v>190</v>
      </c>
      <c r="E348" s="15" t="s">
        <v>630</v>
      </c>
      <c r="F348" s="15" t="s">
        <v>700</v>
      </c>
      <c r="G348" s="15"/>
    </row>
    <row r="349" spans="1:7" ht="18" customHeight="1">
      <c r="A349" s="4">
        <v>348</v>
      </c>
      <c r="B349" s="5" t="s">
        <v>191</v>
      </c>
      <c r="C349" s="5" t="s">
        <v>192</v>
      </c>
      <c r="D349" s="5" t="s">
        <v>193</v>
      </c>
      <c r="E349" s="5" t="s">
        <v>630</v>
      </c>
      <c r="F349" s="5" t="s">
        <v>701</v>
      </c>
      <c r="G349" s="5"/>
    </row>
    <row r="350" spans="1:7" ht="18" customHeight="1">
      <c r="A350" s="14">
        <v>349</v>
      </c>
      <c r="B350" s="15" t="s">
        <v>498</v>
      </c>
      <c r="C350" s="15" t="s">
        <v>499</v>
      </c>
      <c r="D350" s="15" t="s">
        <v>500</v>
      </c>
      <c r="E350" s="15" t="s">
        <v>630</v>
      </c>
      <c r="F350" s="15" t="s">
        <v>702</v>
      </c>
      <c r="G350" s="15"/>
    </row>
    <row r="351" spans="1:7" ht="18" customHeight="1">
      <c r="A351" s="4">
        <v>350</v>
      </c>
      <c r="B351" s="5" t="s">
        <v>498</v>
      </c>
      <c r="C351" s="5" t="s">
        <v>499</v>
      </c>
      <c r="D351" s="5" t="s">
        <v>500</v>
      </c>
      <c r="E351" s="5" t="s">
        <v>630</v>
      </c>
      <c r="F351" s="5" t="s">
        <v>703</v>
      </c>
      <c r="G351" s="5"/>
    </row>
    <row r="352" spans="1:7" ht="18" customHeight="1">
      <c r="A352" s="14">
        <v>351</v>
      </c>
      <c r="B352" s="15" t="s">
        <v>194</v>
      </c>
      <c r="C352" s="15" t="s">
        <v>195</v>
      </c>
      <c r="D352" s="15" t="s">
        <v>196</v>
      </c>
      <c r="E352" s="15" t="s">
        <v>630</v>
      </c>
      <c r="F352" s="15" t="s">
        <v>704</v>
      </c>
      <c r="G352" s="15"/>
    </row>
    <row r="353" spans="1:7" ht="18" customHeight="1">
      <c r="A353" s="4">
        <v>352</v>
      </c>
      <c r="B353" s="5" t="s">
        <v>197</v>
      </c>
      <c r="C353" s="5" t="s">
        <v>198</v>
      </c>
      <c r="D353" s="5" t="s">
        <v>198</v>
      </c>
      <c r="E353" s="5" t="s">
        <v>630</v>
      </c>
      <c r="F353" s="5" t="s">
        <v>705</v>
      </c>
      <c r="G353" s="5"/>
    </row>
    <row r="354" spans="1:7" ht="18" customHeight="1">
      <c r="A354" s="14">
        <v>353</v>
      </c>
      <c r="B354" s="15" t="s">
        <v>505</v>
      </c>
      <c r="C354" s="15" t="s">
        <v>506</v>
      </c>
      <c r="D354" s="15" t="s">
        <v>507</v>
      </c>
      <c r="E354" s="15" t="s">
        <v>630</v>
      </c>
      <c r="F354" s="15" t="s">
        <v>706</v>
      </c>
      <c r="G354" s="15"/>
    </row>
    <row r="355" spans="1:7" ht="18" customHeight="1">
      <c r="A355" s="4">
        <v>354</v>
      </c>
      <c r="B355" s="5" t="s">
        <v>505</v>
      </c>
      <c r="C355" s="5" t="s">
        <v>506</v>
      </c>
      <c r="D355" s="5" t="s">
        <v>507</v>
      </c>
      <c r="E355" s="5" t="s">
        <v>630</v>
      </c>
      <c r="F355" s="5" t="s">
        <v>707</v>
      </c>
      <c r="G355" s="5"/>
    </row>
    <row r="356" spans="1:7" ht="18" customHeight="1">
      <c r="A356" s="14">
        <v>355</v>
      </c>
      <c r="B356" s="15" t="s">
        <v>199</v>
      </c>
      <c r="C356" s="15" t="s">
        <v>200</v>
      </c>
      <c r="D356" s="15" t="s">
        <v>201</v>
      </c>
      <c r="E356" s="15" t="s">
        <v>630</v>
      </c>
      <c r="F356" s="15" t="s">
        <v>708</v>
      </c>
      <c r="G356" s="15"/>
    </row>
    <row r="357" spans="1:7" ht="18" customHeight="1">
      <c r="A357" s="4">
        <v>356</v>
      </c>
      <c r="B357" s="5" t="s">
        <v>510</v>
      </c>
      <c r="C357" s="5" t="s">
        <v>511</v>
      </c>
      <c r="D357" s="5" t="s">
        <v>512</v>
      </c>
      <c r="E357" s="5" t="s">
        <v>630</v>
      </c>
      <c r="F357" s="5" t="s">
        <v>709</v>
      </c>
      <c r="G357" s="5"/>
    </row>
    <row r="358" spans="1:7" ht="18" customHeight="1">
      <c r="A358" s="14">
        <v>357</v>
      </c>
      <c r="B358" s="15" t="s">
        <v>202</v>
      </c>
      <c r="C358" s="15" t="s">
        <v>203</v>
      </c>
      <c r="D358" s="15" t="s">
        <v>204</v>
      </c>
      <c r="E358" s="15" t="s">
        <v>630</v>
      </c>
      <c r="F358" s="15" t="s">
        <v>710</v>
      </c>
      <c r="G358" s="15"/>
    </row>
    <row r="359" spans="1:7" ht="18" customHeight="1">
      <c r="A359" s="4">
        <v>358</v>
      </c>
      <c r="B359" s="5" t="s">
        <v>205</v>
      </c>
      <c r="C359" s="5" t="s">
        <v>206</v>
      </c>
      <c r="D359" s="5" t="s">
        <v>207</v>
      </c>
      <c r="E359" s="5" t="s">
        <v>630</v>
      </c>
      <c r="F359" s="5" t="s">
        <v>711</v>
      </c>
      <c r="G359" s="5"/>
    </row>
    <row r="360" spans="1:7" ht="18" customHeight="1">
      <c r="A360" s="14">
        <v>359</v>
      </c>
      <c r="B360" s="15" t="s">
        <v>205</v>
      </c>
      <c r="C360" s="15" t="s">
        <v>206</v>
      </c>
      <c r="D360" s="15" t="s">
        <v>207</v>
      </c>
      <c r="E360" s="15" t="s">
        <v>630</v>
      </c>
      <c r="F360" s="15" t="s">
        <v>712</v>
      </c>
      <c r="G360" s="15"/>
    </row>
    <row r="361" spans="1:7" ht="18" customHeight="1">
      <c r="A361" s="4">
        <v>360</v>
      </c>
      <c r="B361" s="5" t="s">
        <v>208</v>
      </c>
      <c r="C361" s="5" t="s">
        <v>209</v>
      </c>
      <c r="D361" s="5" t="s">
        <v>210</v>
      </c>
      <c r="E361" s="5" t="s">
        <v>630</v>
      </c>
      <c r="F361" s="5" t="s">
        <v>713</v>
      </c>
      <c r="G361" s="5"/>
    </row>
    <row r="362" spans="1:7" ht="18" customHeight="1">
      <c r="A362" s="14">
        <v>361</v>
      </c>
      <c r="B362" s="15" t="s">
        <v>211</v>
      </c>
      <c r="C362" s="15" t="s">
        <v>212</v>
      </c>
      <c r="D362" s="15" t="s">
        <v>213</v>
      </c>
      <c r="E362" s="15" t="s">
        <v>630</v>
      </c>
      <c r="F362" s="15" t="s">
        <v>714</v>
      </c>
      <c r="G362" s="15"/>
    </row>
    <row r="363" spans="1:7" ht="18" customHeight="1">
      <c r="A363" s="4">
        <v>362</v>
      </c>
      <c r="B363" s="5" t="s">
        <v>217</v>
      </c>
      <c r="C363" s="5" t="s">
        <v>218</v>
      </c>
      <c r="D363" s="5" t="s">
        <v>219</v>
      </c>
      <c r="E363" s="5" t="s">
        <v>630</v>
      </c>
      <c r="F363" s="5" t="s">
        <v>715</v>
      </c>
      <c r="G363" s="5"/>
    </row>
    <row r="364" spans="1:7" ht="18" customHeight="1">
      <c r="A364" s="14">
        <v>363</v>
      </c>
      <c r="B364" s="15" t="s">
        <v>520</v>
      </c>
      <c r="C364" s="15" t="s">
        <v>521</v>
      </c>
      <c r="D364" s="15" t="s">
        <v>522</v>
      </c>
      <c r="E364" s="15" t="s">
        <v>630</v>
      </c>
      <c r="F364" s="15" t="s">
        <v>716</v>
      </c>
      <c r="G364" s="15"/>
    </row>
    <row r="365" spans="1:7" ht="18" customHeight="1">
      <c r="A365" s="4">
        <v>364</v>
      </c>
      <c r="B365" s="5" t="s">
        <v>520</v>
      </c>
      <c r="C365" s="5" t="s">
        <v>521</v>
      </c>
      <c r="D365" s="5" t="s">
        <v>522</v>
      </c>
      <c r="E365" s="5" t="s">
        <v>630</v>
      </c>
      <c r="F365" s="5" t="s">
        <v>717</v>
      </c>
      <c r="G365" s="5"/>
    </row>
    <row r="366" spans="1:7" ht="18" customHeight="1">
      <c r="A366" s="14">
        <v>365</v>
      </c>
      <c r="B366" s="15" t="s">
        <v>220</v>
      </c>
      <c r="C366" s="15" t="s">
        <v>221</v>
      </c>
      <c r="D366" s="15" t="s">
        <v>222</v>
      </c>
      <c r="E366" s="15" t="s">
        <v>630</v>
      </c>
      <c r="F366" s="15" t="s">
        <v>718</v>
      </c>
      <c r="G366" s="15"/>
    </row>
    <row r="367" spans="1:7" ht="18" customHeight="1">
      <c r="A367" s="4">
        <v>366</v>
      </c>
      <c r="B367" s="5" t="s">
        <v>223</v>
      </c>
      <c r="C367" s="5" t="s">
        <v>224</v>
      </c>
      <c r="D367" s="5" t="s">
        <v>225</v>
      </c>
      <c r="E367" s="5" t="s">
        <v>630</v>
      </c>
      <c r="F367" s="5" t="s">
        <v>719</v>
      </c>
      <c r="G367" s="5"/>
    </row>
    <row r="368" spans="1:7" ht="18" customHeight="1">
      <c r="A368" s="14">
        <v>367</v>
      </c>
      <c r="B368" s="15" t="s">
        <v>223</v>
      </c>
      <c r="C368" s="15" t="s">
        <v>224</v>
      </c>
      <c r="D368" s="15" t="s">
        <v>225</v>
      </c>
      <c r="E368" s="15" t="s">
        <v>630</v>
      </c>
      <c r="F368" s="15" t="s">
        <v>720</v>
      </c>
      <c r="G368" s="15"/>
    </row>
    <row r="369" spans="1:7" ht="18" customHeight="1">
      <c r="A369" s="4">
        <v>368</v>
      </c>
      <c r="B369" s="5" t="s">
        <v>226</v>
      </c>
      <c r="C369" s="5" t="s">
        <v>227</v>
      </c>
      <c r="D369" s="5" t="s">
        <v>228</v>
      </c>
      <c r="E369" s="5" t="s">
        <v>630</v>
      </c>
      <c r="F369" s="5" t="s">
        <v>721</v>
      </c>
      <c r="G369" s="5"/>
    </row>
    <row r="370" spans="1:7" ht="18" customHeight="1">
      <c r="A370" s="14">
        <v>369</v>
      </c>
      <c r="B370" s="15" t="s">
        <v>226</v>
      </c>
      <c r="C370" s="15" t="s">
        <v>227</v>
      </c>
      <c r="D370" s="15" t="s">
        <v>228</v>
      </c>
      <c r="E370" s="15" t="s">
        <v>630</v>
      </c>
      <c r="F370" s="15" t="s">
        <v>11</v>
      </c>
      <c r="G370" s="15"/>
    </row>
    <row r="371" spans="1:7" ht="18" customHeight="1">
      <c r="A371" s="4">
        <v>370</v>
      </c>
      <c r="B371" s="5" t="s">
        <v>21</v>
      </c>
      <c r="C371" s="5" t="s">
        <v>22</v>
      </c>
      <c r="D371" s="5" t="s">
        <v>23</v>
      </c>
      <c r="E371" s="5" t="s">
        <v>630</v>
      </c>
      <c r="F371" s="5" t="s">
        <v>722</v>
      </c>
      <c r="G371" s="5"/>
    </row>
    <row r="372" spans="1:7" ht="18" customHeight="1">
      <c r="A372" s="14">
        <v>371</v>
      </c>
      <c r="B372" s="15" t="s">
        <v>21</v>
      </c>
      <c r="C372" s="15" t="s">
        <v>22</v>
      </c>
      <c r="D372" s="15" t="s">
        <v>23</v>
      </c>
      <c r="E372" s="15" t="s">
        <v>630</v>
      </c>
      <c r="F372" s="15" t="s">
        <v>723</v>
      </c>
      <c r="G372" s="15"/>
    </row>
    <row r="373" spans="1:7" ht="18" customHeight="1">
      <c r="A373" s="4">
        <v>372</v>
      </c>
      <c r="B373" s="5" t="s">
        <v>550</v>
      </c>
      <c r="C373" s="5" t="s">
        <v>551</v>
      </c>
      <c r="D373" s="5" t="s">
        <v>552</v>
      </c>
      <c r="E373" s="5" t="s">
        <v>630</v>
      </c>
      <c r="F373" s="5" t="s">
        <v>724</v>
      </c>
      <c r="G373" s="5"/>
    </row>
    <row r="374" spans="1:7" ht="18" customHeight="1">
      <c r="A374" s="14">
        <v>373</v>
      </c>
      <c r="B374" s="15" t="s">
        <v>232</v>
      </c>
      <c r="C374" s="15" t="s">
        <v>233</v>
      </c>
      <c r="D374" s="15" t="s">
        <v>234</v>
      </c>
      <c r="E374" s="15" t="s">
        <v>630</v>
      </c>
      <c r="F374" s="15" t="s">
        <v>725</v>
      </c>
      <c r="G374" s="15"/>
    </row>
    <row r="375" spans="1:7" ht="18" customHeight="1">
      <c r="A375" s="4">
        <v>374</v>
      </c>
      <c r="B375" s="5" t="s">
        <v>232</v>
      </c>
      <c r="C375" s="5" t="s">
        <v>233</v>
      </c>
      <c r="D375" s="5" t="s">
        <v>234</v>
      </c>
      <c r="E375" s="5" t="s">
        <v>630</v>
      </c>
      <c r="F375" s="5" t="s">
        <v>726</v>
      </c>
      <c r="G375" s="5"/>
    </row>
    <row r="376" spans="1:7" ht="18" customHeight="1">
      <c r="A376" s="14">
        <v>375</v>
      </c>
      <c r="B376" s="15" t="s">
        <v>235</v>
      </c>
      <c r="C376" s="15" t="s">
        <v>236</v>
      </c>
      <c r="D376" s="15" t="s">
        <v>237</v>
      </c>
      <c r="E376" s="15" t="s">
        <v>630</v>
      </c>
      <c r="F376" s="15" t="s">
        <v>727</v>
      </c>
      <c r="G376" s="15"/>
    </row>
    <row r="377" spans="1:7" ht="18" customHeight="1">
      <c r="A377" s="4">
        <v>376</v>
      </c>
      <c r="B377" s="5" t="s">
        <v>238</v>
      </c>
      <c r="C377" s="5" t="s">
        <v>239</v>
      </c>
      <c r="D377" s="5" t="s">
        <v>240</v>
      </c>
      <c r="E377" s="5" t="s">
        <v>630</v>
      </c>
      <c r="F377" s="5" t="s">
        <v>728</v>
      </c>
      <c r="G377" s="5"/>
    </row>
    <row r="378" spans="1:7" ht="18" customHeight="1">
      <c r="A378" s="14">
        <v>377</v>
      </c>
      <c r="B378" s="15" t="s">
        <v>241</v>
      </c>
      <c r="C378" s="15" t="s">
        <v>242</v>
      </c>
      <c r="D378" s="15" t="s">
        <v>243</v>
      </c>
      <c r="E378" s="15" t="s">
        <v>630</v>
      </c>
      <c r="F378" s="15" t="s">
        <v>729</v>
      </c>
      <c r="G378" s="15"/>
    </row>
    <row r="379" spans="1:7" ht="18" customHeight="1">
      <c r="A379" s="4">
        <v>378</v>
      </c>
      <c r="B379" s="5" t="s">
        <v>569</v>
      </c>
      <c r="C379" s="5" t="s">
        <v>570</v>
      </c>
      <c r="D379" s="5" t="s">
        <v>571</v>
      </c>
      <c r="E379" s="5" t="s">
        <v>630</v>
      </c>
      <c r="F379" s="5" t="s">
        <v>730</v>
      </c>
      <c r="G379" s="5"/>
    </row>
    <row r="380" spans="1:7" ht="18" customHeight="1">
      <c r="A380" s="14">
        <v>379</v>
      </c>
      <c r="B380" s="15" t="s">
        <v>569</v>
      </c>
      <c r="C380" s="15" t="s">
        <v>570</v>
      </c>
      <c r="D380" s="15" t="s">
        <v>571</v>
      </c>
      <c r="E380" s="15" t="s">
        <v>630</v>
      </c>
      <c r="F380" s="15" t="s">
        <v>731</v>
      </c>
      <c r="G380" s="15"/>
    </row>
    <row r="381" spans="1:7" ht="18" customHeight="1">
      <c r="A381" s="4">
        <v>380</v>
      </c>
      <c r="B381" s="5" t="s">
        <v>244</v>
      </c>
      <c r="C381" s="5" t="s">
        <v>245</v>
      </c>
      <c r="D381" s="5" t="s">
        <v>246</v>
      </c>
      <c r="E381" s="5" t="s">
        <v>630</v>
      </c>
      <c r="F381" s="5" t="s">
        <v>732</v>
      </c>
      <c r="G381" s="5"/>
    </row>
    <row r="382" spans="1:7" ht="18" customHeight="1">
      <c r="A382" s="14">
        <v>381</v>
      </c>
      <c r="B382" s="15" t="s">
        <v>247</v>
      </c>
      <c r="C382" s="15" t="s">
        <v>248</v>
      </c>
      <c r="D382" s="15" t="s">
        <v>249</v>
      </c>
      <c r="E382" s="15" t="s">
        <v>630</v>
      </c>
      <c r="F382" s="15" t="s">
        <v>733</v>
      </c>
      <c r="G382" s="15"/>
    </row>
    <row r="383" spans="1:7" ht="18" customHeight="1">
      <c r="A383" s="4">
        <v>382</v>
      </c>
      <c r="B383" s="5" t="s">
        <v>247</v>
      </c>
      <c r="C383" s="5" t="s">
        <v>248</v>
      </c>
      <c r="D383" s="5" t="s">
        <v>249</v>
      </c>
      <c r="E383" s="5" t="s">
        <v>630</v>
      </c>
      <c r="F383" s="5" t="s">
        <v>734</v>
      </c>
      <c r="G383" s="5"/>
    </row>
    <row r="384" spans="1:7" ht="18" customHeight="1">
      <c r="A384" s="14">
        <v>383</v>
      </c>
      <c r="B384" s="15" t="s">
        <v>250</v>
      </c>
      <c r="C384" s="15" t="s">
        <v>251</v>
      </c>
      <c r="D384" s="15" t="s">
        <v>252</v>
      </c>
      <c r="E384" s="15" t="s">
        <v>630</v>
      </c>
      <c r="F384" s="15" t="s">
        <v>735</v>
      </c>
      <c r="G384" s="15"/>
    </row>
    <row r="385" spans="1:7" ht="18" customHeight="1">
      <c r="A385" s="4">
        <v>384</v>
      </c>
      <c r="B385" s="5" t="s">
        <v>250</v>
      </c>
      <c r="C385" s="5" t="s">
        <v>251</v>
      </c>
      <c r="D385" s="5" t="s">
        <v>252</v>
      </c>
      <c r="E385" s="5" t="s">
        <v>630</v>
      </c>
      <c r="F385" s="5" t="s">
        <v>736</v>
      </c>
      <c r="G385" s="5"/>
    </row>
    <row r="386" spans="1:7" ht="18" customHeight="1">
      <c r="A386" s="14">
        <v>385</v>
      </c>
      <c r="B386" s="15" t="s">
        <v>259</v>
      </c>
      <c r="C386" s="15" t="s">
        <v>260</v>
      </c>
      <c r="D386" s="15" t="s">
        <v>261</v>
      </c>
      <c r="E386" s="15" t="s">
        <v>630</v>
      </c>
      <c r="F386" s="15" t="s">
        <v>737</v>
      </c>
      <c r="G386" s="15"/>
    </row>
    <row r="387" spans="1:7" ht="18" customHeight="1">
      <c r="A387" s="4">
        <v>386</v>
      </c>
      <c r="B387" s="5" t="s">
        <v>593</v>
      </c>
      <c r="C387" s="5" t="s">
        <v>594</v>
      </c>
      <c r="D387" s="5" t="s">
        <v>595</v>
      </c>
      <c r="E387" s="5" t="s">
        <v>630</v>
      </c>
      <c r="F387" s="5" t="s">
        <v>738</v>
      </c>
      <c r="G387" s="5"/>
    </row>
    <row r="388" spans="1:7" ht="18" customHeight="1">
      <c r="A388" s="14">
        <v>387</v>
      </c>
      <c r="B388" s="15" t="s">
        <v>593</v>
      </c>
      <c r="C388" s="15" t="s">
        <v>594</v>
      </c>
      <c r="D388" s="15" t="s">
        <v>595</v>
      </c>
      <c r="E388" s="15" t="s">
        <v>630</v>
      </c>
      <c r="F388" s="15" t="s">
        <v>596</v>
      </c>
      <c r="G388" s="15"/>
    </row>
    <row r="389" spans="1:7" ht="18" customHeight="1">
      <c r="A389" s="4">
        <v>388</v>
      </c>
      <c r="B389" s="5" t="s">
        <v>268</v>
      </c>
      <c r="C389" s="5" t="s">
        <v>269</v>
      </c>
      <c r="D389" s="5" t="s">
        <v>270</v>
      </c>
      <c r="E389" s="5" t="s">
        <v>630</v>
      </c>
      <c r="F389" s="5" t="s">
        <v>739</v>
      </c>
      <c r="G389" s="5"/>
    </row>
    <row r="390" spans="1:7" ht="18" customHeight="1">
      <c r="A390" s="14">
        <v>389</v>
      </c>
      <c r="B390" s="15" t="s">
        <v>268</v>
      </c>
      <c r="C390" s="15" t="s">
        <v>269</v>
      </c>
      <c r="D390" s="15" t="s">
        <v>270</v>
      </c>
      <c r="E390" s="15" t="s">
        <v>630</v>
      </c>
      <c r="F390" s="15" t="s">
        <v>740</v>
      </c>
      <c r="G390" s="15"/>
    </row>
    <row r="391" spans="1:7" ht="18" customHeight="1">
      <c r="A391" s="4">
        <v>390</v>
      </c>
      <c r="B391" s="5" t="s">
        <v>271</v>
      </c>
      <c r="C391" s="5" t="s">
        <v>272</v>
      </c>
      <c r="D391" s="5" t="s">
        <v>273</v>
      </c>
      <c r="E391" s="5" t="s">
        <v>630</v>
      </c>
      <c r="F391" s="5" t="s">
        <v>741</v>
      </c>
      <c r="G391" s="5"/>
    </row>
    <row r="392" spans="1:7" ht="18" customHeight="1">
      <c r="A392" s="14">
        <v>391</v>
      </c>
      <c r="B392" s="15" t="s">
        <v>274</v>
      </c>
      <c r="C392" s="15" t="s">
        <v>275</v>
      </c>
      <c r="D392" s="15" t="s">
        <v>276</v>
      </c>
      <c r="E392" s="15" t="s">
        <v>630</v>
      </c>
      <c r="F392" s="15" t="s">
        <v>742</v>
      </c>
      <c r="G392" s="15"/>
    </row>
    <row r="393" spans="1:7" ht="18" customHeight="1">
      <c r="A393" s="4">
        <v>392</v>
      </c>
      <c r="B393" s="5" t="s">
        <v>277</v>
      </c>
      <c r="C393" s="5" t="s">
        <v>278</v>
      </c>
      <c r="D393" s="5" t="s">
        <v>278</v>
      </c>
      <c r="E393" s="5" t="s">
        <v>630</v>
      </c>
      <c r="F393" s="5" t="s">
        <v>743</v>
      </c>
      <c r="G393" s="5"/>
    </row>
    <row r="394" spans="1:7" ht="18" customHeight="1">
      <c r="A394" s="14">
        <v>393</v>
      </c>
      <c r="B394" s="15" t="s">
        <v>279</v>
      </c>
      <c r="C394" s="15" t="s">
        <v>280</v>
      </c>
      <c r="D394" s="15" t="s">
        <v>281</v>
      </c>
      <c r="E394" s="15" t="s">
        <v>630</v>
      </c>
      <c r="F394" s="15" t="s">
        <v>744</v>
      </c>
      <c r="G394" s="15"/>
    </row>
    <row r="395" spans="1:7" ht="18" customHeight="1">
      <c r="A395" s="4">
        <v>394</v>
      </c>
      <c r="B395" s="5" t="s">
        <v>608</v>
      </c>
      <c r="C395" s="5" t="s">
        <v>609</v>
      </c>
      <c r="D395" s="5" t="s">
        <v>610</v>
      </c>
      <c r="E395" s="5" t="s">
        <v>630</v>
      </c>
      <c r="F395" s="5" t="s">
        <v>745</v>
      </c>
      <c r="G395" s="5"/>
    </row>
    <row r="396" spans="1:7" ht="18" customHeight="1">
      <c r="A396" s="14">
        <v>395</v>
      </c>
      <c r="B396" s="15" t="s">
        <v>288</v>
      </c>
      <c r="C396" s="15" t="s">
        <v>289</v>
      </c>
      <c r="D396" s="15" t="s">
        <v>290</v>
      </c>
      <c r="E396" s="15" t="s">
        <v>630</v>
      </c>
      <c r="F396" s="15" t="s">
        <v>746</v>
      </c>
      <c r="G396" s="15"/>
    </row>
    <row r="397" spans="1:7" ht="18" customHeight="1">
      <c r="A397" s="4">
        <v>396</v>
      </c>
      <c r="B397" s="5" t="s">
        <v>291</v>
      </c>
      <c r="C397" s="5" t="s">
        <v>292</v>
      </c>
      <c r="D397" s="5" t="s">
        <v>293</v>
      </c>
      <c r="E397" s="5" t="s">
        <v>630</v>
      </c>
      <c r="F397" s="5" t="s">
        <v>747</v>
      </c>
      <c r="G397" s="5"/>
    </row>
    <row r="398" spans="1:7" ht="18" customHeight="1">
      <c r="A398" s="14">
        <v>397</v>
      </c>
      <c r="B398" s="15" t="s">
        <v>291</v>
      </c>
      <c r="C398" s="15" t="s">
        <v>292</v>
      </c>
      <c r="D398" s="15" t="s">
        <v>293</v>
      </c>
      <c r="E398" s="15" t="s">
        <v>630</v>
      </c>
      <c r="F398" s="15" t="s">
        <v>748</v>
      </c>
      <c r="G398" s="15"/>
    </row>
    <row r="399" spans="1:7" ht="18" customHeight="1">
      <c r="A399" s="4">
        <v>398</v>
      </c>
      <c r="B399" s="5" t="s">
        <v>294</v>
      </c>
      <c r="C399" s="5" t="s">
        <v>295</v>
      </c>
      <c r="D399" s="5" t="s">
        <v>296</v>
      </c>
      <c r="E399" s="5" t="s">
        <v>630</v>
      </c>
      <c r="F399" s="5" t="s">
        <v>749</v>
      </c>
      <c r="G399" s="5"/>
    </row>
    <row r="400" spans="1:7" ht="18" customHeight="1">
      <c r="A400" s="14">
        <v>399</v>
      </c>
      <c r="B400" s="15" t="s">
        <v>294</v>
      </c>
      <c r="C400" s="15" t="s">
        <v>295</v>
      </c>
      <c r="D400" s="15" t="s">
        <v>296</v>
      </c>
      <c r="E400" s="15" t="s">
        <v>630</v>
      </c>
      <c r="F400" s="15" t="s">
        <v>750</v>
      </c>
      <c r="G400" s="15"/>
    </row>
    <row r="401" spans="1:7" ht="18" customHeight="1">
      <c r="A401" s="4">
        <v>400</v>
      </c>
      <c r="B401" s="5" t="s">
        <v>297</v>
      </c>
      <c r="C401" s="5" t="s">
        <v>298</v>
      </c>
      <c r="D401" s="5" t="s">
        <v>299</v>
      </c>
      <c r="E401" s="5" t="s">
        <v>630</v>
      </c>
      <c r="F401" s="5" t="s">
        <v>751</v>
      </c>
      <c r="G401" s="5"/>
    </row>
    <row r="402" spans="1:7" ht="18" customHeight="1">
      <c r="A402" s="14">
        <v>401</v>
      </c>
      <c r="B402" s="15" t="s">
        <v>297</v>
      </c>
      <c r="C402" s="15" t="s">
        <v>298</v>
      </c>
      <c r="D402" s="15" t="s">
        <v>299</v>
      </c>
      <c r="E402" s="15" t="s">
        <v>630</v>
      </c>
      <c r="F402" s="15" t="s">
        <v>752</v>
      </c>
      <c r="G402" s="15"/>
    </row>
    <row r="403" spans="1:7" ht="18" customHeight="1">
      <c r="A403" s="4">
        <v>402</v>
      </c>
      <c r="B403" s="5" t="s">
        <v>300</v>
      </c>
      <c r="C403" s="5" t="s">
        <v>301</v>
      </c>
      <c r="D403" s="5" t="s">
        <v>302</v>
      </c>
      <c r="E403" s="5" t="s">
        <v>630</v>
      </c>
      <c r="F403" s="5" t="s">
        <v>753</v>
      </c>
      <c r="G403" s="5"/>
    </row>
    <row r="404" spans="1:7" ht="18" customHeight="1">
      <c r="A404" s="14">
        <v>403</v>
      </c>
      <c r="B404" s="15" t="s">
        <v>303</v>
      </c>
      <c r="C404" s="15" t="s">
        <v>304</v>
      </c>
      <c r="D404" s="15" t="s">
        <v>305</v>
      </c>
      <c r="E404" s="15" t="s">
        <v>630</v>
      </c>
      <c r="F404" s="15" t="s">
        <v>754</v>
      </c>
      <c r="G404" s="15"/>
    </row>
    <row r="405" spans="1:7" ht="18" customHeight="1">
      <c r="A405" s="4">
        <v>404</v>
      </c>
      <c r="B405" s="5" t="s">
        <v>303</v>
      </c>
      <c r="C405" s="5" t="s">
        <v>304</v>
      </c>
      <c r="D405" s="5" t="s">
        <v>305</v>
      </c>
      <c r="E405" s="5" t="s">
        <v>630</v>
      </c>
      <c r="F405" s="5" t="s">
        <v>755</v>
      </c>
      <c r="G405" s="5"/>
    </row>
    <row r="406" spans="1:7" ht="18" customHeight="1">
      <c r="A406" s="14">
        <v>405</v>
      </c>
      <c r="B406" s="15" t="s">
        <v>623</v>
      </c>
      <c r="C406" s="15" t="s">
        <v>624</v>
      </c>
      <c r="D406" s="15" t="s">
        <v>625</v>
      </c>
      <c r="E406" s="15" t="s">
        <v>630</v>
      </c>
      <c r="F406" s="15" t="s">
        <v>756</v>
      </c>
      <c r="G406" s="15"/>
    </row>
    <row r="407" spans="1:7" ht="18" customHeight="1">
      <c r="A407" s="4">
        <v>406</v>
      </c>
      <c r="B407" s="5" t="s">
        <v>623</v>
      </c>
      <c r="C407" s="5" t="s">
        <v>624</v>
      </c>
      <c r="D407" s="5" t="s">
        <v>625</v>
      </c>
      <c r="E407" s="5" t="s">
        <v>630</v>
      </c>
      <c r="F407" s="5" t="s">
        <v>11</v>
      </c>
      <c r="G407" s="5"/>
    </row>
    <row r="408" spans="1:7" ht="18" customHeight="1">
      <c r="A408" s="14">
        <v>407</v>
      </c>
      <c r="B408" s="15" t="s">
        <v>306</v>
      </c>
      <c r="C408" s="15" t="s">
        <v>307</v>
      </c>
      <c r="D408" s="15" t="s">
        <v>307</v>
      </c>
      <c r="E408" s="15" t="s">
        <v>630</v>
      </c>
      <c r="F408" s="15" t="s">
        <v>757</v>
      </c>
      <c r="G408" s="15"/>
    </row>
    <row r="409" spans="1:7" ht="18" customHeight="1">
      <c r="A409" s="4">
        <v>408</v>
      </c>
      <c r="B409" s="5" t="s">
        <v>308</v>
      </c>
      <c r="C409" s="5" t="s">
        <v>309</v>
      </c>
      <c r="D409" s="5" t="s">
        <v>310</v>
      </c>
      <c r="E409" s="5" t="s">
        <v>630</v>
      </c>
      <c r="F409" s="5" t="s">
        <v>758</v>
      </c>
      <c r="G409" s="5"/>
    </row>
    <row r="410" spans="1:7" ht="18" customHeight="1">
      <c r="A410" s="14">
        <v>409</v>
      </c>
      <c r="B410" s="15" t="s">
        <v>311</v>
      </c>
      <c r="C410" s="15" t="s">
        <v>312</v>
      </c>
      <c r="D410" s="15" t="s">
        <v>313</v>
      </c>
      <c r="E410" s="15" t="s">
        <v>630</v>
      </c>
      <c r="F410" s="15" t="s">
        <v>759</v>
      </c>
      <c r="G410" s="15"/>
    </row>
    <row r="411" spans="1:7" ht="18" customHeight="1">
      <c r="A411" s="4">
        <v>410</v>
      </c>
      <c r="B411" s="5" t="s">
        <v>311</v>
      </c>
      <c r="C411" s="5" t="s">
        <v>312</v>
      </c>
      <c r="D411" s="5" t="s">
        <v>313</v>
      </c>
      <c r="E411" s="5" t="s">
        <v>630</v>
      </c>
      <c r="F411" s="5" t="s">
        <v>760</v>
      </c>
      <c r="G411" s="5"/>
    </row>
    <row r="412" spans="1:7" ht="18" hidden="1" customHeight="1">
      <c r="A412" s="16">
        <v>411</v>
      </c>
      <c r="B412" s="17" t="s">
        <v>29</v>
      </c>
      <c r="C412" s="17" t="s">
        <v>30</v>
      </c>
      <c r="D412" s="17" t="s">
        <v>31</v>
      </c>
      <c r="E412" s="17" t="s">
        <v>761</v>
      </c>
      <c r="F412" s="17" t="s">
        <v>11</v>
      </c>
      <c r="G412" s="17"/>
    </row>
    <row r="413" spans="1:7" ht="18" hidden="1" customHeight="1">
      <c r="A413" s="4">
        <v>412</v>
      </c>
      <c r="B413" s="5" t="s">
        <v>33</v>
      </c>
      <c r="C413" s="5" t="s">
        <v>34</v>
      </c>
      <c r="D413" s="5" t="s">
        <v>35</v>
      </c>
      <c r="E413" s="5" t="s">
        <v>761</v>
      </c>
      <c r="F413" s="5" t="s">
        <v>11</v>
      </c>
      <c r="G413" s="5"/>
    </row>
    <row r="414" spans="1:7" ht="18" hidden="1" customHeight="1">
      <c r="A414" s="16">
        <v>413</v>
      </c>
      <c r="B414" s="17" t="s">
        <v>36</v>
      </c>
      <c r="C414" s="17" t="s">
        <v>37</v>
      </c>
      <c r="D414" s="17" t="s">
        <v>38</v>
      </c>
      <c r="E414" s="17" t="s">
        <v>761</v>
      </c>
      <c r="F414" s="17" t="s">
        <v>11</v>
      </c>
      <c r="G414" s="17"/>
    </row>
    <row r="415" spans="1:7" ht="18" hidden="1" customHeight="1">
      <c r="A415" s="4">
        <v>414</v>
      </c>
      <c r="B415" s="5" t="s">
        <v>26</v>
      </c>
      <c r="C415" s="5" t="s">
        <v>27</v>
      </c>
      <c r="D415" s="5" t="s">
        <v>27</v>
      </c>
      <c r="E415" s="5" t="s">
        <v>761</v>
      </c>
      <c r="F415" s="5" t="s">
        <v>11</v>
      </c>
      <c r="G415" s="5"/>
    </row>
    <row r="416" spans="1:7" ht="18" hidden="1" customHeight="1">
      <c r="A416" s="16">
        <v>415</v>
      </c>
      <c r="B416" s="17" t="s">
        <v>39</v>
      </c>
      <c r="C416" s="17" t="s">
        <v>40</v>
      </c>
      <c r="D416" s="17" t="s">
        <v>41</v>
      </c>
      <c r="E416" s="17" t="s">
        <v>761</v>
      </c>
      <c r="F416" s="17" t="s">
        <v>11</v>
      </c>
      <c r="G416" s="17"/>
    </row>
    <row r="417" spans="1:7" ht="18" hidden="1" customHeight="1">
      <c r="A417" s="4">
        <v>416</v>
      </c>
      <c r="B417" s="5" t="s">
        <v>42</v>
      </c>
      <c r="C417" s="5" t="s">
        <v>43</v>
      </c>
      <c r="D417" s="5" t="s">
        <v>44</v>
      </c>
      <c r="E417" s="5" t="s">
        <v>761</v>
      </c>
      <c r="F417" s="5" t="s">
        <v>11</v>
      </c>
      <c r="G417" s="5"/>
    </row>
    <row r="418" spans="1:7" ht="18" hidden="1" customHeight="1">
      <c r="A418" s="16">
        <v>417</v>
      </c>
      <c r="B418" s="17" t="s">
        <v>45</v>
      </c>
      <c r="C418" s="17" t="s">
        <v>46</v>
      </c>
      <c r="D418" s="17" t="s">
        <v>47</v>
      </c>
      <c r="E418" s="17" t="s">
        <v>761</v>
      </c>
      <c r="F418" s="17" t="s">
        <v>11</v>
      </c>
      <c r="G418" s="17"/>
    </row>
    <row r="419" spans="1:7" ht="18" hidden="1" customHeight="1">
      <c r="A419" s="4">
        <v>418</v>
      </c>
      <c r="B419" s="5" t="s">
        <v>341</v>
      </c>
      <c r="C419" s="5" t="s">
        <v>342</v>
      </c>
      <c r="D419" s="5" t="s">
        <v>343</v>
      </c>
      <c r="E419" s="5" t="s">
        <v>761</v>
      </c>
      <c r="F419" s="5" t="s">
        <v>11</v>
      </c>
      <c r="G419" s="5"/>
    </row>
    <row r="420" spans="1:7" ht="18" hidden="1" customHeight="1">
      <c r="A420" s="16">
        <v>419</v>
      </c>
      <c r="B420" s="17" t="s">
        <v>48</v>
      </c>
      <c r="C420" s="17" t="s">
        <v>49</v>
      </c>
      <c r="D420" s="17" t="s">
        <v>50</v>
      </c>
      <c r="E420" s="17" t="s">
        <v>761</v>
      </c>
      <c r="F420" s="17" t="s">
        <v>11</v>
      </c>
      <c r="G420" s="17"/>
    </row>
    <row r="421" spans="1:7" ht="18" hidden="1" customHeight="1">
      <c r="A421" s="4">
        <v>420</v>
      </c>
      <c r="B421" s="5" t="s">
        <v>51</v>
      </c>
      <c r="C421" s="5" t="s">
        <v>52</v>
      </c>
      <c r="D421" s="5" t="s">
        <v>53</v>
      </c>
      <c r="E421" s="5" t="s">
        <v>761</v>
      </c>
      <c r="F421" s="5" t="s">
        <v>11</v>
      </c>
      <c r="G421" s="5"/>
    </row>
    <row r="422" spans="1:7" ht="18" hidden="1" customHeight="1">
      <c r="A422" s="16">
        <v>421</v>
      </c>
      <c r="B422" s="17" t="s">
        <v>54</v>
      </c>
      <c r="C422" s="17" t="s">
        <v>55</v>
      </c>
      <c r="D422" s="17" t="s">
        <v>56</v>
      </c>
      <c r="E422" s="17" t="s">
        <v>761</v>
      </c>
      <c r="F422" s="17" t="s">
        <v>11</v>
      </c>
      <c r="G422" s="17"/>
    </row>
    <row r="423" spans="1:7" ht="18" hidden="1" customHeight="1">
      <c r="A423" s="4">
        <v>422</v>
      </c>
      <c r="B423" s="5" t="s">
        <v>57</v>
      </c>
      <c r="C423" s="5" t="s">
        <v>58</v>
      </c>
      <c r="D423" s="5" t="s">
        <v>59</v>
      </c>
      <c r="E423" s="5" t="s">
        <v>761</v>
      </c>
      <c r="F423" s="5" t="s">
        <v>11</v>
      </c>
      <c r="G423" s="5"/>
    </row>
    <row r="424" spans="1:7" ht="18" hidden="1" customHeight="1">
      <c r="A424" s="16">
        <v>423</v>
      </c>
      <c r="B424" s="17" t="s">
        <v>60</v>
      </c>
      <c r="C424" s="17" t="s">
        <v>61</v>
      </c>
      <c r="D424" s="17" t="s">
        <v>62</v>
      </c>
      <c r="E424" s="17" t="s">
        <v>761</v>
      </c>
      <c r="F424" s="17" t="s">
        <v>11</v>
      </c>
      <c r="G424" s="17"/>
    </row>
    <row r="425" spans="1:7" ht="18" hidden="1" customHeight="1">
      <c r="A425" s="4">
        <v>424</v>
      </c>
      <c r="B425" s="5" t="s">
        <v>63</v>
      </c>
      <c r="C425" s="5" t="s">
        <v>64</v>
      </c>
      <c r="D425" s="5" t="s">
        <v>65</v>
      </c>
      <c r="E425" s="5" t="s">
        <v>761</v>
      </c>
      <c r="F425" s="5" t="s">
        <v>11</v>
      </c>
      <c r="G425" s="5"/>
    </row>
    <row r="426" spans="1:7" ht="18" hidden="1" customHeight="1">
      <c r="A426" s="16">
        <v>425</v>
      </c>
      <c r="B426" s="17" t="s">
        <v>368</v>
      </c>
      <c r="C426" s="17" t="s">
        <v>369</v>
      </c>
      <c r="D426" s="17" t="s">
        <v>369</v>
      </c>
      <c r="E426" s="17" t="s">
        <v>761</v>
      </c>
      <c r="F426" s="17" t="s">
        <v>11</v>
      </c>
      <c r="G426" s="17"/>
    </row>
    <row r="427" spans="1:7" ht="18" hidden="1" customHeight="1">
      <c r="A427" s="4">
        <v>426</v>
      </c>
      <c r="B427" s="5" t="s">
        <v>69</v>
      </c>
      <c r="C427" s="5" t="s">
        <v>70</v>
      </c>
      <c r="D427" s="5" t="s">
        <v>71</v>
      </c>
      <c r="E427" s="5" t="s">
        <v>761</v>
      </c>
      <c r="F427" s="5" t="s">
        <v>11</v>
      </c>
      <c r="G427" s="5"/>
    </row>
    <row r="428" spans="1:7" ht="18" hidden="1" customHeight="1">
      <c r="A428" s="16">
        <v>427</v>
      </c>
      <c r="B428" s="17" t="s">
        <v>72</v>
      </c>
      <c r="C428" s="17" t="s">
        <v>73</v>
      </c>
      <c r="D428" s="17" t="s">
        <v>74</v>
      </c>
      <c r="E428" s="17" t="s">
        <v>761</v>
      </c>
      <c r="F428" s="17" t="s">
        <v>11</v>
      </c>
      <c r="G428" s="17"/>
    </row>
    <row r="429" spans="1:7" ht="18" hidden="1" customHeight="1">
      <c r="A429" s="4">
        <v>428</v>
      </c>
      <c r="B429" s="5" t="s">
        <v>75</v>
      </c>
      <c r="C429" s="5" t="s">
        <v>76</v>
      </c>
      <c r="D429" s="5" t="s">
        <v>76</v>
      </c>
      <c r="E429" s="5" t="s">
        <v>761</v>
      </c>
      <c r="F429" s="5" t="s">
        <v>11</v>
      </c>
      <c r="G429" s="5"/>
    </row>
    <row r="430" spans="1:7" ht="18" hidden="1" customHeight="1">
      <c r="A430" s="16">
        <v>429</v>
      </c>
      <c r="B430" s="17" t="s">
        <v>77</v>
      </c>
      <c r="C430" s="17" t="s">
        <v>78</v>
      </c>
      <c r="D430" s="17" t="s">
        <v>79</v>
      </c>
      <c r="E430" s="17" t="s">
        <v>761</v>
      </c>
      <c r="F430" s="17" t="s">
        <v>11</v>
      </c>
      <c r="G430" s="17"/>
    </row>
    <row r="431" spans="1:7" ht="18" hidden="1" customHeight="1">
      <c r="A431" s="4">
        <v>430</v>
      </c>
      <c r="B431" s="5" t="s">
        <v>80</v>
      </c>
      <c r="C431" s="5" t="s">
        <v>81</v>
      </c>
      <c r="D431" s="5" t="s">
        <v>82</v>
      </c>
      <c r="E431" s="5" t="s">
        <v>761</v>
      </c>
      <c r="F431" s="5" t="s">
        <v>11</v>
      </c>
      <c r="G431" s="5"/>
    </row>
    <row r="432" spans="1:7" ht="18" hidden="1" customHeight="1">
      <c r="A432" s="16">
        <v>431</v>
      </c>
      <c r="B432" s="17" t="s">
        <v>7</v>
      </c>
      <c r="C432" s="17" t="s">
        <v>8</v>
      </c>
      <c r="D432" s="17" t="s">
        <v>9</v>
      </c>
      <c r="E432" s="17" t="s">
        <v>761</v>
      </c>
      <c r="F432" s="17" t="s">
        <v>11</v>
      </c>
      <c r="G432" s="17"/>
    </row>
    <row r="433" spans="1:7" ht="18" hidden="1" customHeight="1">
      <c r="A433" s="4">
        <v>432</v>
      </c>
      <c r="B433" s="5" t="s">
        <v>86</v>
      </c>
      <c r="C433" s="5" t="s">
        <v>87</v>
      </c>
      <c r="D433" s="5" t="s">
        <v>88</v>
      </c>
      <c r="E433" s="5" t="s">
        <v>761</v>
      </c>
      <c r="F433" s="5" t="s">
        <v>11</v>
      </c>
      <c r="G433" s="5"/>
    </row>
    <row r="434" spans="1:7" ht="18" hidden="1" customHeight="1">
      <c r="A434" s="16">
        <v>433</v>
      </c>
      <c r="B434" s="17" t="s">
        <v>89</v>
      </c>
      <c r="C434" s="17" t="s">
        <v>90</v>
      </c>
      <c r="D434" s="17" t="s">
        <v>91</v>
      </c>
      <c r="E434" s="17" t="s">
        <v>761</v>
      </c>
      <c r="F434" s="17" t="s">
        <v>11</v>
      </c>
      <c r="G434" s="17"/>
    </row>
    <row r="435" spans="1:7" ht="18" hidden="1" customHeight="1">
      <c r="A435" s="4">
        <v>434</v>
      </c>
      <c r="B435" s="5" t="s">
        <v>92</v>
      </c>
      <c r="C435" s="5" t="s">
        <v>93</v>
      </c>
      <c r="D435" s="5" t="s">
        <v>94</v>
      </c>
      <c r="E435" s="5" t="s">
        <v>761</v>
      </c>
      <c r="F435" s="5" t="s">
        <v>11</v>
      </c>
      <c r="G435" s="5"/>
    </row>
    <row r="436" spans="1:7" ht="18" hidden="1" customHeight="1">
      <c r="A436" s="16">
        <v>435</v>
      </c>
      <c r="B436" s="17" t="s">
        <v>95</v>
      </c>
      <c r="C436" s="17" t="s">
        <v>96</v>
      </c>
      <c r="D436" s="17" t="s">
        <v>97</v>
      </c>
      <c r="E436" s="17" t="s">
        <v>761</v>
      </c>
      <c r="F436" s="17" t="s">
        <v>11</v>
      </c>
      <c r="G436" s="17"/>
    </row>
    <row r="437" spans="1:7" ht="18" hidden="1" customHeight="1">
      <c r="A437" s="4">
        <v>436</v>
      </c>
      <c r="B437" s="5" t="s">
        <v>98</v>
      </c>
      <c r="C437" s="5" t="s">
        <v>99</v>
      </c>
      <c r="D437" s="5" t="s">
        <v>100</v>
      </c>
      <c r="E437" s="5" t="s">
        <v>761</v>
      </c>
      <c r="F437" s="5" t="s">
        <v>11</v>
      </c>
      <c r="G437" s="5"/>
    </row>
    <row r="438" spans="1:7" ht="18" hidden="1" customHeight="1">
      <c r="A438" s="16">
        <v>437</v>
      </c>
      <c r="B438" s="17" t="s">
        <v>101</v>
      </c>
      <c r="C438" s="17" t="s">
        <v>102</v>
      </c>
      <c r="D438" s="17" t="s">
        <v>103</v>
      </c>
      <c r="E438" s="17" t="s">
        <v>761</v>
      </c>
      <c r="F438" s="17" t="s">
        <v>11</v>
      </c>
      <c r="G438" s="17"/>
    </row>
    <row r="439" spans="1:7" ht="18" hidden="1" customHeight="1">
      <c r="A439" s="4">
        <v>438</v>
      </c>
      <c r="B439" s="5" t="s">
        <v>104</v>
      </c>
      <c r="C439" s="5" t="s">
        <v>105</v>
      </c>
      <c r="D439" s="5" t="s">
        <v>106</v>
      </c>
      <c r="E439" s="5" t="s">
        <v>761</v>
      </c>
      <c r="F439" s="5" t="s">
        <v>11</v>
      </c>
      <c r="G439" s="5"/>
    </row>
    <row r="440" spans="1:7" ht="18" hidden="1" customHeight="1">
      <c r="A440" s="16">
        <v>439</v>
      </c>
      <c r="B440" s="17" t="s">
        <v>107</v>
      </c>
      <c r="C440" s="17" t="s">
        <v>108</v>
      </c>
      <c r="D440" s="17" t="s">
        <v>109</v>
      </c>
      <c r="E440" s="17" t="s">
        <v>761</v>
      </c>
      <c r="F440" s="17" t="s">
        <v>11</v>
      </c>
      <c r="G440" s="17"/>
    </row>
    <row r="441" spans="1:7" ht="18" hidden="1" customHeight="1">
      <c r="A441" s="4">
        <v>440</v>
      </c>
      <c r="B441" s="5" t="s">
        <v>110</v>
      </c>
      <c r="C441" s="5" t="s">
        <v>111</v>
      </c>
      <c r="D441" s="5" t="s">
        <v>112</v>
      </c>
      <c r="E441" s="5" t="s">
        <v>761</v>
      </c>
      <c r="F441" s="5" t="s">
        <v>11</v>
      </c>
      <c r="G441" s="5"/>
    </row>
    <row r="442" spans="1:7" ht="18" hidden="1" customHeight="1">
      <c r="A442" s="16">
        <v>441</v>
      </c>
      <c r="B442" s="17" t="s">
        <v>113</v>
      </c>
      <c r="C442" s="17" t="s">
        <v>114</v>
      </c>
      <c r="D442" s="17" t="s">
        <v>115</v>
      </c>
      <c r="E442" s="17" t="s">
        <v>761</v>
      </c>
      <c r="F442" s="17" t="s">
        <v>11</v>
      </c>
      <c r="G442" s="17"/>
    </row>
    <row r="443" spans="1:7" ht="18" hidden="1" customHeight="1">
      <c r="A443" s="4">
        <v>442</v>
      </c>
      <c r="B443" s="5" t="s">
        <v>116</v>
      </c>
      <c r="C443" s="5" t="s">
        <v>117</v>
      </c>
      <c r="D443" s="5" t="s">
        <v>118</v>
      </c>
      <c r="E443" s="5" t="s">
        <v>761</v>
      </c>
      <c r="F443" s="5" t="s">
        <v>11</v>
      </c>
      <c r="G443" s="5"/>
    </row>
    <row r="444" spans="1:7" ht="18" hidden="1" customHeight="1">
      <c r="A444" s="16">
        <v>443</v>
      </c>
      <c r="B444" s="17" t="s">
        <v>119</v>
      </c>
      <c r="C444" s="17" t="s">
        <v>120</v>
      </c>
      <c r="D444" s="17" t="s">
        <v>121</v>
      </c>
      <c r="E444" s="17" t="s">
        <v>761</v>
      </c>
      <c r="F444" s="17" t="s">
        <v>11</v>
      </c>
      <c r="G444" s="17"/>
    </row>
    <row r="445" spans="1:7" ht="18" hidden="1" customHeight="1">
      <c r="A445" s="4">
        <v>444</v>
      </c>
      <c r="B445" s="5" t="s">
        <v>122</v>
      </c>
      <c r="C445" s="5" t="s">
        <v>123</v>
      </c>
      <c r="D445" s="5" t="s">
        <v>124</v>
      </c>
      <c r="E445" s="5" t="s">
        <v>761</v>
      </c>
      <c r="F445" s="5" t="s">
        <v>11</v>
      </c>
      <c r="G445" s="5"/>
    </row>
    <row r="446" spans="1:7" ht="18" hidden="1" customHeight="1">
      <c r="A446" s="16">
        <v>445</v>
      </c>
      <c r="B446" s="17" t="s">
        <v>125</v>
      </c>
      <c r="C446" s="17" t="s">
        <v>126</v>
      </c>
      <c r="D446" s="17" t="s">
        <v>126</v>
      </c>
      <c r="E446" s="17" t="s">
        <v>761</v>
      </c>
      <c r="F446" s="17" t="s">
        <v>11</v>
      </c>
      <c r="G446" s="17"/>
    </row>
    <row r="447" spans="1:7" ht="18" hidden="1" customHeight="1">
      <c r="A447" s="4">
        <v>446</v>
      </c>
      <c r="B447" s="5" t="s">
        <v>127</v>
      </c>
      <c r="C447" s="5" t="s">
        <v>128</v>
      </c>
      <c r="D447" s="5" t="s">
        <v>129</v>
      </c>
      <c r="E447" s="5" t="s">
        <v>761</v>
      </c>
      <c r="F447" s="5" t="s">
        <v>762</v>
      </c>
      <c r="G447" s="5"/>
    </row>
    <row r="448" spans="1:7" ht="18" hidden="1" customHeight="1">
      <c r="A448" s="16">
        <v>447</v>
      </c>
      <c r="B448" s="17" t="s">
        <v>131</v>
      </c>
      <c r="C448" s="17" t="s">
        <v>132</v>
      </c>
      <c r="D448" s="17" t="s">
        <v>133</v>
      </c>
      <c r="E448" s="17" t="s">
        <v>761</v>
      </c>
      <c r="F448" s="17" t="s">
        <v>11</v>
      </c>
      <c r="G448" s="17"/>
    </row>
    <row r="449" spans="1:7" ht="18" hidden="1" customHeight="1">
      <c r="A449" s="4">
        <v>448</v>
      </c>
      <c r="B449" s="5" t="s">
        <v>134</v>
      </c>
      <c r="C449" s="5" t="s">
        <v>135</v>
      </c>
      <c r="D449" s="5" t="s">
        <v>136</v>
      </c>
      <c r="E449" s="5" t="s">
        <v>761</v>
      </c>
      <c r="F449" s="5" t="s">
        <v>11</v>
      </c>
      <c r="G449" s="5"/>
    </row>
    <row r="450" spans="1:7" ht="18" hidden="1" customHeight="1">
      <c r="A450" s="16">
        <v>449</v>
      </c>
      <c r="B450" s="17" t="s">
        <v>137</v>
      </c>
      <c r="C450" s="17" t="s">
        <v>138</v>
      </c>
      <c r="D450" s="17" t="s">
        <v>138</v>
      </c>
      <c r="E450" s="17" t="s">
        <v>761</v>
      </c>
      <c r="F450" s="17" t="s">
        <v>11</v>
      </c>
      <c r="G450" s="17"/>
    </row>
    <row r="451" spans="1:7" ht="18" hidden="1" customHeight="1">
      <c r="A451" s="4">
        <v>450</v>
      </c>
      <c r="B451" s="5" t="s">
        <v>139</v>
      </c>
      <c r="C451" s="5" t="s">
        <v>140</v>
      </c>
      <c r="D451" s="5" t="s">
        <v>141</v>
      </c>
      <c r="E451" s="5" t="s">
        <v>761</v>
      </c>
      <c r="F451" s="5" t="s">
        <v>11</v>
      </c>
      <c r="G451" s="5"/>
    </row>
    <row r="452" spans="1:7" ht="18" hidden="1" customHeight="1">
      <c r="A452" s="16">
        <v>451</v>
      </c>
      <c r="B452" s="17" t="s">
        <v>142</v>
      </c>
      <c r="C452" s="17" t="s">
        <v>143</v>
      </c>
      <c r="D452" s="17" t="s">
        <v>144</v>
      </c>
      <c r="E452" s="17" t="s">
        <v>761</v>
      </c>
      <c r="F452" s="17" t="s">
        <v>11</v>
      </c>
      <c r="G452" s="17"/>
    </row>
    <row r="453" spans="1:7" ht="18" hidden="1" customHeight="1">
      <c r="A453" s="4">
        <v>452</v>
      </c>
      <c r="B453" s="5" t="s">
        <v>145</v>
      </c>
      <c r="C453" s="5" t="s">
        <v>146</v>
      </c>
      <c r="D453" s="5" t="s">
        <v>147</v>
      </c>
      <c r="E453" s="5" t="s">
        <v>761</v>
      </c>
      <c r="F453" s="5" t="s">
        <v>763</v>
      </c>
      <c r="G453" s="5"/>
    </row>
    <row r="454" spans="1:7" ht="18" hidden="1" customHeight="1">
      <c r="A454" s="16">
        <v>453</v>
      </c>
      <c r="B454" s="17" t="s">
        <v>149</v>
      </c>
      <c r="C454" s="17" t="s">
        <v>150</v>
      </c>
      <c r="D454" s="17" t="s">
        <v>151</v>
      </c>
      <c r="E454" s="17" t="s">
        <v>761</v>
      </c>
      <c r="F454" s="17" t="s">
        <v>11</v>
      </c>
      <c r="G454" s="17"/>
    </row>
    <row r="455" spans="1:7" ht="18" hidden="1" customHeight="1">
      <c r="A455" s="4">
        <v>454</v>
      </c>
      <c r="B455" s="5" t="s">
        <v>152</v>
      </c>
      <c r="C455" s="5" t="s">
        <v>153</v>
      </c>
      <c r="D455" s="5" t="s">
        <v>154</v>
      </c>
      <c r="E455" s="5" t="s">
        <v>761</v>
      </c>
      <c r="F455" s="5" t="s">
        <v>764</v>
      </c>
      <c r="G455" s="5"/>
    </row>
    <row r="456" spans="1:7" ht="18" hidden="1" customHeight="1">
      <c r="A456" s="16">
        <v>455</v>
      </c>
      <c r="B456" s="17" t="s">
        <v>156</v>
      </c>
      <c r="C456" s="17" t="s">
        <v>157</v>
      </c>
      <c r="D456" s="17" t="s">
        <v>157</v>
      </c>
      <c r="E456" s="17" t="s">
        <v>761</v>
      </c>
      <c r="F456" s="17" t="s">
        <v>11</v>
      </c>
      <c r="G456" s="17"/>
    </row>
    <row r="457" spans="1:7" ht="18" hidden="1" customHeight="1">
      <c r="A457" s="4">
        <v>456</v>
      </c>
      <c r="B457" s="5" t="s">
        <v>158</v>
      </c>
      <c r="C457" s="5" t="s">
        <v>159</v>
      </c>
      <c r="D457" s="5" t="s">
        <v>160</v>
      </c>
      <c r="E457" s="5" t="s">
        <v>761</v>
      </c>
      <c r="F457" s="5" t="s">
        <v>11</v>
      </c>
      <c r="G457" s="5"/>
    </row>
    <row r="458" spans="1:7" ht="18" hidden="1" customHeight="1">
      <c r="A458" s="16">
        <v>457</v>
      </c>
      <c r="B458" s="17" t="s">
        <v>161</v>
      </c>
      <c r="C458" s="17" t="s">
        <v>162</v>
      </c>
      <c r="D458" s="17" t="s">
        <v>162</v>
      </c>
      <c r="E458" s="17" t="s">
        <v>761</v>
      </c>
      <c r="F458" s="17" t="s">
        <v>11</v>
      </c>
      <c r="G458" s="17"/>
    </row>
    <row r="459" spans="1:7" ht="18" hidden="1" customHeight="1">
      <c r="A459" s="4">
        <v>458</v>
      </c>
      <c r="B459" s="5" t="s">
        <v>163</v>
      </c>
      <c r="C459" s="5" t="s">
        <v>164</v>
      </c>
      <c r="D459" s="5" t="s">
        <v>165</v>
      </c>
      <c r="E459" s="5" t="s">
        <v>761</v>
      </c>
      <c r="F459" s="5" t="s">
        <v>11</v>
      </c>
      <c r="G459" s="5"/>
    </row>
    <row r="460" spans="1:7" ht="18" hidden="1" customHeight="1">
      <c r="A460" s="16">
        <v>459</v>
      </c>
      <c r="B460" s="17" t="s">
        <v>166</v>
      </c>
      <c r="C460" s="17" t="s">
        <v>167</v>
      </c>
      <c r="D460" s="17" t="s">
        <v>168</v>
      </c>
      <c r="E460" s="17" t="s">
        <v>761</v>
      </c>
      <c r="F460" s="17" t="s">
        <v>765</v>
      </c>
      <c r="G460" s="17"/>
    </row>
    <row r="461" spans="1:7" ht="18" hidden="1" customHeight="1">
      <c r="A461" s="4">
        <v>460</v>
      </c>
      <c r="B461" s="5" t="s">
        <v>170</v>
      </c>
      <c r="C461" s="5" t="s">
        <v>171</v>
      </c>
      <c r="D461" s="5" t="s">
        <v>172</v>
      </c>
      <c r="E461" s="5" t="s">
        <v>761</v>
      </c>
      <c r="F461" s="5" t="s">
        <v>11</v>
      </c>
      <c r="G461" s="5"/>
    </row>
    <row r="462" spans="1:7" ht="18" hidden="1" customHeight="1">
      <c r="A462" s="16">
        <v>461</v>
      </c>
      <c r="B462" s="17" t="s">
        <v>173</v>
      </c>
      <c r="C462" s="17" t="s">
        <v>174</v>
      </c>
      <c r="D462" s="17" t="s">
        <v>175</v>
      </c>
      <c r="E462" s="17" t="s">
        <v>761</v>
      </c>
      <c r="F462" s="17" t="s">
        <v>11</v>
      </c>
      <c r="G462" s="17"/>
    </row>
    <row r="463" spans="1:7" ht="18" hidden="1" customHeight="1">
      <c r="A463" s="4">
        <v>462</v>
      </c>
      <c r="B463" s="5" t="s">
        <v>176</v>
      </c>
      <c r="C463" s="5" t="s">
        <v>177</v>
      </c>
      <c r="D463" s="5" t="s">
        <v>178</v>
      </c>
      <c r="E463" s="5" t="s">
        <v>761</v>
      </c>
      <c r="F463" s="5" t="s">
        <v>11</v>
      </c>
      <c r="G463" s="5"/>
    </row>
    <row r="464" spans="1:7" ht="18" hidden="1" customHeight="1">
      <c r="A464" s="16">
        <v>463</v>
      </c>
      <c r="B464" s="17" t="s">
        <v>179</v>
      </c>
      <c r="C464" s="17" t="s">
        <v>180</v>
      </c>
      <c r="D464" s="17" t="s">
        <v>181</v>
      </c>
      <c r="E464" s="17" t="s">
        <v>761</v>
      </c>
      <c r="F464" s="17" t="s">
        <v>11</v>
      </c>
      <c r="G464" s="17"/>
    </row>
    <row r="465" spans="1:7" ht="18" hidden="1" customHeight="1">
      <c r="A465" s="4">
        <v>464</v>
      </c>
      <c r="B465" s="5" t="s">
        <v>182</v>
      </c>
      <c r="C465" s="5" t="s">
        <v>183</v>
      </c>
      <c r="D465" s="5" t="s">
        <v>184</v>
      </c>
      <c r="E465" s="5" t="s">
        <v>761</v>
      </c>
      <c r="F465" s="5" t="s">
        <v>11</v>
      </c>
      <c r="G465" s="5"/>
    </row>
    <row r="466" spans="1:7" ht="18" hidden="1" customHeight="1">
      <c r="A466" s="16">
        <v>465</v>
      </c>
      <c r="B466" s="17" t="s">
        <v>188</v>
      </c>
      <c r="C466" s="17" t="s">
        <v>189</v>
      </c>
      <c r="D466" s="17" t="s">
        <v>190</v>
      </c>
      <c r="E466" s="17" t="s">
        <v>761</v>
      </c>
      <c r="F466" s="17" t="s">
        <v>11</v>
      </c>
      <c r="G466" s="17"/>
    </row>
    <row r="467" spans="1:7" ht="18" hidden="1" customHeight="1">
      <c r="A467" s="4">
        <v>466</v>
      </c>
      <c r="B467" s="5" t="s">
        <v>191</v>
      </c>
      <c r="C467" s="5" t="s">
        <v>192</v>
      </c>
      <c r="D467" s="5" t="s">
        <v>193</v>
      </c>
      <c r="E467" s="5" t="s">
        <v>761</v>
      </c>
      <c r="F467" s="5" t="s">
        <v>11</v>
      </c>
      <c r="G467" s="5"/>
    </row>
    <row r="468" spans="1:7" ht="18" hidden="1" customHeight="1">
      <c r="A468" s="16">
        <v>467</v>
      </c>
      <c r="B468" s="17" t="s">
        <v>194</v>
      </c>
      <c r="C468" s="17" t="s">
        <v>195</v>
      </c>
      <c r="D468" s="17" t="s">
        <v>196</v>
      </c>
      <c r="E468" s="17" t="s">
        <v>761</v>
      </c>
      <c r="F468" s="17" t="s">
        <v>11</v>
      </c>
      <c r="G468" s="17"/>
    </row>
    <row r="469" spans="1:7" ht="18" hidden="1" customHeight="1">
      <c r="A469" s="4">
        <v>468</v>
      </c>
      <c r="B469" s="5" t="s">
        <v>17</v>
      </c>
      <c r="C469" s="5" t="s">
        <v>18</v>
      </c>
      <c r="D469" s="5" t="s">
        <v>18</v>
      </c>
      <c r="E469" s="5" t="s">
        <v>761</v>
      </c>
      <c r="F469" s="5" t="s">
        <v>11</v>
      </c>
      <c r="G469" s="5"/>
    </row>
    <row r="470" spans="1:7" ht="18" hidden="1" customHeight="1">
      <c r="A470" s="16">
        <v>469</v>
      </c>
      <c r="B470" s="17" t="s">
        <v>197</v>
      </c>
      <c r="C470" s="17" t="s">
        <v>198</v>
      </c>
      <c r="D470" s="17" t="s">
        <v>198</v>
      </c>
      <c r="E470" s="17" t="s">
        <v>761</v>
      </c>
      <c r="F470" s="17" t="s">
        <v>11</v>
      </c>
      <c r="G470" s="17"/>
    </row>
    <row r="471" spans="1:7" ht="18" hidden="1" customHeight="1">
      <c r="A471" s="4">
        <v>470</v>
      </c>
      <c r="B471" s="5" t="s">
        <v>199</v>
      </c>
      <c r="C471" s="5" t="s">
        <v>200</v>
      </c>
      <c r="D471" s="5" t="s">
        <v>201</v>
      </c>
      <c r="E471" s="5" t="s">
        <v>761</v>
      </c>
      <c r="F471" s="5" t="s">
        <v>11</v>
      </c>
      <c r="G471" s="5"/>
    </row>
    <row r="472" spans="1:7" ht="18" hidden="1" customHeight="1">
      <c r="A472" s="16">
        <v>471</v>
      </c>
      <c r="B472" s="17" t="s">
        <v>202</v>
      </c>
      <c r="C472" s="17" t="s">
        <v>203</v>
      </c>
      <c r="D472" s="17" t="s">
        <v>204</v>
      </c>
      <c r="E472" s="17" t="s">
        <v>761</v>
      </c>
      <c r="F472" s="17" t="s">
        <v>11</v>
      </c>
      <c r="G472" s="17"/>
    </row>
    <row r="473" spans="1:7" ht="18" hidden="1" customHeight="1">
      <c r="A473" s="4">
        <v>472</v>
      </c>
      <c r="B473" s="5" t="s">
        <v>205</v>
      </c>
      <c r="C473" s="5" t="s">
        <v>206</v>
      </c>
      <c r="D473" s="5" t="s">
        <v>207</v>
      </c>
      <c r="E473" s="5" t="s">
        <v>761</v>
      </c>
      <c r="F473" s="5" t="s">
        <v>11</v>
      </c>
      <c r="G473" s="5"/>
    </row>
    <row r="474" spans="1:7" ht="18" hidden="1" customHeight="1">
      <c r="A474" s="16">
        <v>473</v>
      </c>
      <c r="B474" s="17" t="s">
        <v>208</v>
      </c>
      <c r="C474" s="17" t="s">
        <v>209</v>
      </c>
      <c r="D474" s="17" t="s">
        <v>210</v>
      </c>
      <c r="E474" s="17" t="s">
        <v>761</v>
      </c>
      <c r="F474" s="17" t="s">
        <v>11</v>
      </c>
      <c r="G474" s="17"/>
    </row>
    <row r="475" spans="1:7" ht="18" hidden="1" customHeight="1">
      <c r="A475" s="4">
        <v>474</v>
      </c>
      <c r="B475" s="5" t="s">
        <v>211</v>
      </c>
      <c r="C475" s="5" t="s">
        <v>212</v>
      </c>
      <c r="D475" s="5" t="s">
        <v>213</v>
      </c>
      <c r="E475" s="5" t="s">
        <v>761</v>
      </c>
      <c r="F475" s="5" t="s">
        <v>11</v>
      </c>
      <c r="G475" s="5"/>
    </row>
    <row r="476" spans="1:7" ht="18" hidden="1" customHeight="1">
      <c r="A476" s="16">
        <v>475</v>
      </c>
      <c r="B476" s="17" t="s">
        <v>214</v>
      </c>
      <c r="C476" s="17" t="s">
        <v>215</v>
      </c>
      <c r="D476" s="17" t="s">
        <v>216</v>
      </c>
      <c r="E476" s="17" t="s">
        <v>761</v>
      </c>
      <c r="F476" s="17" t="s">
        <v>11</v>
      </c>
      <c r="G476" s="17"/>
    </row>
    <row r="477" spans="1:7" ht="18" hidden="1" customHeight="1">
      <c r="A477" s="4">
        <v>476</v>
      </c>
      <c r="B477" s="5" t="s">
        <v>217</v>
      </c>
      <c r="C477" s="5" t="s">
        <v>218</v>
      </c>
      <c r="D477" s="5" t="s">
        <v>219</v>
      </c>
      <c r="E477" s="5" t="s">
        <v>761</v>
      </c>
      <c r="F477" s="5" t="s">
        <v>11</v>
      </c>
      <c r="G477" s="5"/>
    </row>
    <row r="478" spans="1:7" ht="18" hidden="1" customHeight="1">
      <c r="A478" s="16">
        <v>477</v>
      </c>
      <c r="B478" s="17" t="s">
        <v>220</v>
      </c>
      <c r="C478" s="17" t="s">
        <v>221</v>
      </c>
      <c r="D478" s="17" t="s">
        <v>222</v>
      </c>
      <c r="E478" s="17" t="s">
        <v>761</v>
      </c>
      <c r="F478" s="17" t="s">
        <v>11</v>
      </c>
      <c r="G478" s="17"/>
    </row>
    <row r="479" spans="1:7" ht="18" hidden="1" customHeight="1">
      <c r="A479" s="4">
        <v>478</v>
      </c>
      <c r="B479" s="5" t="s">
        <v>530</v>
      </c>
      <c r="C479" s="5" t="s">
        <v>531</v>
      </c>
      <c r="D479" s="5" t="s">
        <v>532</v>
      </c>
      <c r="E479" s="5" t="s">
        <v>761</v>
      </c>
      <c r="F479" s="5" t="s">
        <v>11</v>
      </c>
      <c r="G479" s="5"/>
    </row>
    <row r="480" spans="1:7" ht="18" hidden="1" customHeight="1">
      <c r="A480" s="16">
        <v>479</v>
      </c>
      <c r="B480" s="17" t="s">
        <v>223</v>
      </c>
      <c r="C480" s="17" t="s">
        <v>224</v>
      </c>
      <c r="D480" s="17" t="s">
        <v>225</v>
      </c>
      <c r="E480" s="17" t="s">
        <v>761</v>
      </c>
      <c r="F480" s="17" t="s">
        <v>11</v>
      </c>
      <c r="G480" s="17"/>
    </row>
    <row r="481" spans="1:7" ht="18" hidden="1" customHeight="1">
      <c r="A481" s="4">
        <v>480</v>
      </c>
      <c r="B481" s="5" t="s">
        <v>226</v>
      </c>
      <c r="C481" s="5" t="s">
        <v>227</v>
      </c>
      <c r="D481" s="5" t="s">
        <v>228</v>
      </c>
      <c r="E481" s="5" t="s">
        <v>761</v>
      </c>
      <c r="F481" s="5" t="s">
        <v>11</v>
      </c>
      <c r="G481" s="5"/>
    </row>
    <row r="482" spans="1:7" ht="18" hidden="1" customHeight="1">
      <c r="A482" s="16">
        <v>481</v>
      </c>
      <c r="B482" s="17" t="s">
        <v>21</v>
      </c>
      <c r="C482" s="17" t="s">
        <v>22</v>
      </c>
      <c r="D482" s="17" t="s">
        <v>23</v>
      </c>
      <c r="E482" s="17" t="s">
        <v>761</v>
      </c>
      <c r="F482" s="17" t="s">
        <v>11</v>
      </c>
      <c r="G482" s="17"/>
    </row>
    <row r="483" spans="1:7" ht="18" hidden="1" customHeight="1">
      <c r="A483" s="4">
        <v>482</v>
      </c>
      <c r="B483" s="5" t="s">
        <v>229</v>
      </c>
      <c r="C483" s="5" t="s">
        <v>230</v>
      </c>
      <c r="D483" s="5" t="s">
        <v>231</v>
      </c>
      <c r="E483" s="5" t="s">
        <v>761</v>
      </c>
      <c r="F483" s="5" t="s">
        <v>11</v>
      </c>
      <c r="G483" s="5"/>
    </row>
    <row r="484" spans="1:7" ht="18" hidden="1" customHeight="1">
      <c r="A484" s="16">
        <v>483</v>
      </c>
      <c r="B484" s="17" t="s">
        <v>232</v>
      </c>
      <c r="C484" s="17" t="s">
        <v>233</v>
      </c>
      <c r="D484" s="17" t="s">
        <v>234</v>
      </c>
      <c r="E484" s="17" t="s">
        <v>761</v>
      </c>
      <c r="F484" s="17" t="s">
        <v>11</v>
      </c>
      <c r="G484" s="17"/>
    </row>
    <row r="485" spans="1:7" ht="18" hidden="1" customHeight="1">
      <c r="A485" s="4">
        <v>484</v>
      </c>
      <c r="B485" s="5" t="s">
        <v>559</v>
      </c>
      <c r="C485" s="5" t="s">
        <v>560</v>
      </c>
      <c r="D485" s="5" t="s">
        <v>561</v>
      </c>
      <c r="E485" s="5" t="s">
        <v>761</v>
      </c>
      <c r="F485" s="5" t="s">
        <v>11</v>
      </c>
      <c r="G485" s="5"/>
    </row>
    <row r="486" spans="1:7" ht="18" hidden="1" customHeight="1">
      <c r="A486" s="16">
        <v>485</v>
      </c>
      <c r="B486" s="17" t="s">
        <v>238</v>
      </c>
      <c r="C486" s="17" t="s">
        <v>239</v>
      </c>
      <c r="D486" s="17" t="s">
        <v>240</v>
      </c>
      <c r="E486" s="17" t="s">
        <v>761</v>
      </c>
      <c r="F486" s="17" t="s">
        <v>11</v>
      </c>
      <c r="G486" s="17"/>
    </row>
    <row r="487" spans="1:7" ht="18" hidden="1" customHeight="1">
      <c r="A487" s="4">
        <v>486</v>
      </c>
      <c r="B487" s="5" t="s">
        <v>241</v>
      </c>
      <c r="C487" s="5" t="s">
        <v>242</v>
      </c>
      <c r="D487" s="5" t="s">
        <v>243</v>
      </c>
      <c r="E487" s="5" t="s">
        <v>761</v>
      </c>
      <c r="F487" s="5" t="s">
        <v>11</v>
      </c>
      <c r="G487" s="5"/>
    </row>
    <row r="488" spans="1:7" ht="18" hidden="1" customHeight="1">
      <c r="A488" s="16">
        <v>487</v>
      </c>
      <c r="B488" s="17" t="s">
        <v>247</v>
      </c>
      <c r="C488" s="17" t="s">
        <v>248</v>
      </c>
      <c r="D488" s="17" t="s">
        <v>249</v>
      </c>
      <c r="E488" s="17" t="s">
        <v>761</v>
      </c>
      <c r="F488" s="17" t="s">
        <v>11</v>
      </c>
      <c r="G488" s="17"/>
    </row>
    <row r="489" spans="1:7" ht="18" hidden="1" customHeight="1">
      <c r="A489" s="4">
        <v>488</v>
      </c>
      <c r="B489" s="5" t="s">
        <v>250</v>
      </c>
      <c r="C489" s="5" t="s">
        <v>251</v>
      </c>
      <c r="D489" s="5" t="s">
        <v>252</v>
      </c>
      <c r="E489" s="5" t="s">
        <v>761</v>
      </c>
      <c r="F489" s="5" t="s">
        <v>11</v>
      </c>
      <c r="G489" s="5"/>
    </row>
    <row r="490" spans="1:7" ht="18" hidden="1" customHeight="1">
      <c r="A490" s="16">
        <v>489</v>
      </c>
      <c r="B490" s="17" t="s">
        <v>253</v>
      </c>
      <c r="C490" s="17" t="s">
        <v>254</v>
      </c>
      <c r="D490" s="17" t="s">
        <v>255</v>
      </c>
      <c r="E490" s="17" t="s">
        <v>761</v>
      </c>
      <c r="F490" s="17" t="s">
        <v>11</v>
      </c>
      <c r="G490" s="17"/>
    </row>
    <row r="491" spans="1:7" ht="18" hidden="1" customHeight="1">
      <c r="A491" s="4">
        <v>490</v>
      </c>
      <c r="B491" s="5" t="s">
        <v>256</v>
      </c>
      <c r="C491" s="5" t="s">
        <v>257</v>
      </c>
      <c r="D491" s="5" t="s">
        <v>258</v>
      </c>
      <c r="E491" s="5" t="s">
        <v>761</v>
      </c>
      <c r="F491" s="5" t="s">
        <v>11</v>
      </c>
      <c r="G491" s="5"/>
    </row>
    <row r="492" spans="1:7" ht="18" hidden="1" customHeight="1">
      <c r="A492" s="16">
        <v>491</v>
      </c>
      <c r="B492" s="17" t="s">
        <v>259</v>
      </c>
      <c r="C492" s="17" t="s">
        <v>260</v>
      </c>
      <c r="D492" s="17" t="s">
        <v>261</v>
      </c>
      <c r="E492" s="17" t="s">
        <v>761</v>
      </c>
      <c r="F492" s="17" t="s">
        <v>11</v>
      </c>
      <c r="G492" s="17"/>
    </row>
    <row r="493" spans="1:7" ht="18" hidden="1" customHeight="1">
      <c r="A493" s="4">
        <v>492</v>
      </c>
      <c r="B493" s="5" t="s">
        <v>265</v>
      </c>
      <c r="C493" s="5" t="s">
        <v>266</v>
      </c>
      <c r="D493" s="5" t="s">
        <v>267</v>
      </c>
      <c r="E493" s="5" t="s">
        <v>761</v>
      </c>
      <c r="F493" s="5" t="s">
        <v>11</v>
      </c>
      <c r="G493" s="5"/>
    </row>
    <row r="494" spans="1:7" ht="18" hidden="1" customHeight="1">
      <c r="A494" s="16">
        <v>493</v>
      </c>
      <c r="B494" s="17" t="s">
        <v>593</v>
      </c>
      <c r="C494" s="17" t="s">
        <v>594</v>
      </c>
      <c r="D494" s="17" t="s">
        <v>595</v>
      </c>
      <c r="E494" s="17" t="s">
        <v>761</v>
      </c>
      <c r="F494" s="17" t="s">
        <v>11</v>
      </c>
      <c r="G494" s="17"/>
    </row>
    <row r="495" spans="1:7" ht="18" hidden="1" customHeight="1">
      <c r="A495" s="4">
        <v>494</v>
      </c>
      <c r="B495" s="5" t="s">
        <v>268</v>
      </c>
      <c r="C495" s="5" t="s">
        <v>269</v>
      </c>
      <c r="D495" s="5" t="s">
        <v>270</v>
      </c>
      <c r="E495" s="5" t="s">
        <v>761</v>
      </c>
      <c r="F495" s="5" t="s">
        <v>11</v>
      </c>
      <c r="G495" s="5"/>
    </row>
    <row r="496" spans="1:7" ht="18" hidden="1" customHeight="1">
      <c r="A496" s="16">
        <v>495</v>
      </c>
      <c r="B496" s="17" t="s">
        <v>271</v>
      </c>
      <c r="C496" s="17" t="s">
        <v>272</v>
      </c>
      <c r="D496" s="17" t="s">
        <v>273</v>
      </c>
      <c r="E496" s="17" t="s">
        <v>761</v>
      </c>
      <c r="F496" s="17" t="s">
        <v>11</v>
      </c>
      <c r="G496" s="17"/>
    </row>
    <row r="497" spans="1:7" ht="18" hidden="1" customHeight="1">
      <c r="A497" s="4">
        <v>496</v>
      </c>
      <c r="B497" s="5" t="s">
        <v>274</v>
      </c>
      <c r="C497" s="5" t="s">
        <v>275</v>
      </c>
      <c r="D497" s="5" t="s">
        <v>276</v>
      </c>
      <c r="E497" s="5" t="s">
        <v>761</v>
      </c>
      <c r="F497" s="5" t="s">
        <v>11</v>
      </c>
      <c r="G497" s="5"/>
    </row>
    <row r="498" spans="1:7" ht="18" hidden="1" customHeight="1">
      <c r="A498" s="16">
        <v>497</v>
      </c>
      <c r="B498" s="17" t="s">
        <v>277</v>
      </c>
      <c r="C498" s="17" t="s">
        <v>278</v>
      </c>
      <c r="D498" s="17" t="s">
        <v>278</v>
      </c>
      <c r="E498" s="17" t="s">
        <v>761</v>
      </c>
      <c r="F498" s="17" t="s">
        <v>11</v>
      </c>
      <c r="G498" s="17"/>
    </row>
    <row r="499" spans="1:7" ht="18" hidden="1" customHeight="1">
      <c r="A499" s="4">
        <v>498</v>
      </c>
      <c r="B499" s="5" t="s">
        <v>279</v>
      </c>
      <c r="C499" s="5" t="s">
        <v>280</v>
      </c>
      <c r="D499" s="5" t="s">
        <v>281</v>
      </c>
      <c r="E499" s="5" t="s">
        <v>761</v>
      </c>
      <c r="F499" s="5" t="s">
        <v>11</v>
      </c>
      <c r="G499" s="5"/>
    </row>
    <row r="500" spans="1:7" ht="18" hidden="1" customHeight="1">
      <c r="A500" s="16">
        <v>499</v>
      </c>
      <c r="B500" s="17" t="s">
        <v>282</v>
      </c>
      <c r="C500" s="17" t="s">
        <v>283</v>
      </c>
      <c r="D500" s="17" t="s">
        <v>284</v>
      </c>
      <c r="E500" s="17" t="s">
        <v>761</v>
      </c>
      <c r="F500" s="17" t="s">
        <v>11</v>
      </c>
      <c r="G500" s="17"/>
    </row>
    <row r="501" spans="1:7" ht="18" hidden="1" customHeight="1">
      <c r="A501" s="4">
        <v>500</v>
      </c>
      <c r="B501" s="5" t="s">
        <v>285</v>
      </c>
      <c r="C501" s="5" t="s">
        <v>286</v>
      </c>
      <c r="D501" s="5" t="s">
        <v>287</v>
      </c>
      <c r="E501" s="5" t="s">
        <v>761</v>
      </c>
      <c r="F501" s="5" t="s">
        <v>11</v>
      </c>
      <c r="G501" s="5"/>
    </row>
    <row r="502" spans="1:7" ht="18" hidden="1" customHeight="1">
      <c r="A502" s="16">
        <v>501</v>
      </c>
      <c r="B502" s="17" t="s">
        <v>288</v>
      </c>
      <c r="C502" s="17" t="s">
        <v>289</v>
      </c>
      <c r="D502" s="17" t="s">
        <v>290</v>
      </c>
      <c r="E502" s="17" t="s">
        <v>761</v>
      </c>
      <c r="F502" s="17" t="s">
        <v>11</v>
      </c>
      <c r="G502" s="17"/>
    </row>
    <row r="503" spans="1:7" ht="18" hidden="1" customHeight="1">
      <c r="A503" s="4">
        <v>502</v>
      </c>
      <c r="B503" s="5" t="s">
        <v>291</v>
      </c>
      <c r="C503" s="5" t="s">
        <v>292</v>
      </c>
      <c r="D503" s="5" t="s">
        <v>293</v>
      </c>
      <c r="E503" s="5" t="s">
        <v>761</v>
      </c>
      <c r="F503" s="5" t="s">
        <v>11</v>
      </c>
      <c r="G503" s="5"/>
    </row>
    <row r="504" spans="1:7" ht="18" hidden="1" customHeight="1">
      <c r="A504" s="16">
        <v>503</v>
      </c>
      <c r="B504" s="17" t="s">
        <v>294</v>
      </c>
      <c r="C504" s="17" t="s">
        <v>295</v>
      </c>
      <c r="D504" s="17" t="s">
        <v>296</v>
      </c>
      <c r="E504" s="17" t="s">
        <v>761</v>
      </c>
      <c r="F504" s="17" t="s">
        <v>11</v>
      </c>
      <c r="G504" s="17"/>
    </row>
    <row r="505" spans="1:7" ht="18" hidden="1" customHeight="1">
      <c r="A505" s="4">
        <v>504</v>
      </c>
      <c r="B505" s="5" t="s">
        <v>297</v>
      </c>
      <c r="C505" s="5" t="s">
        <v>298</v>
      </c>
      <c r="D505" s="5" t="s">
        <v>299</v>
      </c>
      <c r="E505" s="5" t="s">
        <v>761</v>
      </c>
      <c r="F505" s="5" t="s">
        <v>11</v>
      </c>
      <c r="G505" s="5"/>
    </row>
    <row r="506" spans="1:7" ht="18" hidden="1" customHeight="1">
      <c r="A506" s="16">
        <v>505</v>
      </c>
      <c r="B506" s="17" t="s">
        <v>303</v>
      </c>
      <c r="C506" s="17" t="s">
        <v>304</v>
      </c>
      <c r="D506" s="17" t="s">
        <v>305</v>
      </c>
      <c r="E506" s="17" t="s">
        <v>761</v>
      </c>
      <c r="F506" s="17" t="s">
        <v>11</v>
      </c>
      <c r="G506" s="17"/>
    </row>
    <row r="507" spans="1:7" ht="18" hidden="1" customHeight="1">
      <c r="A507" s="4">
        <v>506</v>
      </c>
      <c r="B507" s="5" t="s">
        <v>623</v>
      </c>
      <c r="C507" s="5" t="s">
        <v>624</v>
      </c>
      <c r="D507" s="5" t="s">
        <v>625</v>
      </c>
      <c r="E507" s="5" t="s">
        <v>761</v>
      </c>
      <c r="F507" s="5" t="s">
        <v>11</v>
      </c>
      <c r="G507" s="5"/>
    </row>
    <row r="508" spans="1:7" ht="18" hidden="1" customHeight="1">
      <c r="A508" s="16">
        <v>507</v>
      </c>
      <c r="B508" s="17" t="s">
        <v>306</v>
      </c>
      <c r="C508" s="17" t="s">
        <v>307</v>
      </c>
      <c r="D508" s="17" t="s">
        <v>307</v>
      </c>
      <c r="E508" s="17" t="s">
        <v>761</v>
      </c>
      <c r="F508" s="17" t="s">
        <v>11</v>
      </c>
      <c r="G508" s="17"/>
    </row>
    <row r="509" spans="1:7" ht="18" hidden="1" customHeight="1">
      <c r="A509" s="4">
        <v>508</v>
      </c>
      <c r="B509" s="5" t="s">
        <v>308</v>
      </c>
      <c r="C509" s="5" t="s">
        <v>309</v>
      </c>
      <c r="D509" s="5" t="s">
        <v>310</v>
      </c>
      <c r="E509" s="5" t="s">
        <v>761</v>
      </c>
      <c r="F509" s="5" t="s">
        <v>11</v>
      </c>
      <c r="G509" s="5"/>
    </row>
    <row r="510" spans="1:7" ht="18" hidden="1" customHeight="1">
      <c r="A510" s="16">
        <v>509</v>
      </c>
      <c r="B510" s="17" t="s">
        <v>311</v>
      </c>
      <c r="C510" s="17" t="s">
        <v>312</v>
      </c>
      <c r="D510" s="17" t="s">
        <v>313</v>
      </c>
      <c r="E510" s="17" t="s">
        <v>761</v>
      </c>
      <c r="F510" s="17" t="s">
        <v>11</v>
      </c>
      <c r="G510" s="17"/>
    </row>
    <row r="511" spans="1:7" ht="18" hidden="1" customHeight="1">
      <c r="A511" s="4">
        <v>510</v>
      </c>
      <c r="B511" s="5" t="s">
        <v>438</v>
      </c>
      <c r="C511" s="5" t="s">
        <v>439</v>
      </c>
      <c r="D511" s="5" t="s">
        <v>440</v>
      </c>
      <c r="E511" s="5" t="s">
        <v>766</v>
      </c>
      <c r="F511" s="5" t="s">
        <v>11</v>
      </c>
      <c r="G511" s="5"/>
    </row>
    <row r="512" spans="1:7" ht="18" hidden="1" customHeight="1">
      <c r="A512" s="18">
        <v>511</v>
      </c>
      <c r="B512" s="19" t="s">
        <v>77</v>
      </c>
      <c r="C512" s="19" t="s">
        <v>78</v>
      </c>
      <c r="D512" s="19" t="s">
        <v>79</v>
      </c>
      <c r="E512" s="19" t="s">
        <v>767</v>
      </c>
      <c r="F512" s="19" t="s">
        <v>11</v>
      </c>
      <c r="G512" s="19"/>
    </row>
    <row r="513" spans="1:7" ht="18" hidden="1" customHeight="1">
      <c r="A513" s="4">
        <v>512</v>
      </c>
      <c r="B513" s="5" t="s">
        <v>83</v>
      </c>
      <c r="C513" s="5" t="s">
        <v>84</v>
      </c>
      <c r="D513" s="5" t="s">
        <v>85</v>
      </c>
      <c r="E513" s="5" t="s">
        <v>767</v>
      </c>
      <c r="F513" s="5" t="s">
        <v>11</v>
      </c>
      <c r="G513" s="5"/>
    </row>
    <row r="514" spans="1:7" ht="18" hidden="1" customHeight="1">
      <c r="A514" s="18">
        <v>513</v>
      </c>
      <c r="B514" s="19" t="s">
        <v>559</v>
      </c>
      <c r="C514" s="19" t="s">
        <v>560</v>
      </c>
      <c r="D514" s="19" t="s">
        <v>561</v>
      </c>
      <c r="E514" s="19" t="s">
        <v>767</v>
      </c>
      <c r="F514" s="19" t="s">
        <v>11</v>
      </c>
      <c r="G514" s="19"/>
    </row>
    <row r="515" spans="1:7" ht="18" hidden="1" customHeight="1">
      <c r="A515" s="4">
        <v>514</v>
      </c>
      <c r="B515" s="5" t="s">
        <v>235</v>
      </c>
      <c r="C515" s="5" t="s">
        <v>236</v>
      </c>
      <c r="D515" s="5" t="s">
        <v>237</v>
      </c>
      <c r="E515" s="5" t="s">
        <v>767</v>
      </c>
      <c r="F515" s="5" t="s">
        <v>11</v>
      </c>
      <c r="G515" s="5"/>
    </row>
    <row r="516" spans="1:7" ht="18" hidden="1" customHeight="1">
      <c r="A516" s="18">
        <v>515</v>
      </c>
      <c r="B516" s="19" t="s">
        <v>300</v>
      </c>
      <c r="C516" s="19" t="s">
        <v>301</v>
      </c>
      <c r="D516" s="19" t="s">
        <v>302</v>
      </c>
      <c r="E516" s="19" t="s">
        <v>767</v>
      </c>
      <c r="F516" s="19" t="s">
        <v>11</v>
      </c>
      <c r="G516" s="19"/>
    </row>
    <row r="518" spans="1:7">
      <c r="A518" s="20" t="s">
        <v>768</v>
      </c>
    </row>
  </sheetData>
  <autoFilter ref="A1:G516" xr:uid="{00000000-0009-0000-0000-000000000000}">
    <filterColumn colId="4">
      <filters>
        <filter val="Monitor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4A8DC-70EA-4955-8C82-DB4F2D2A433E}">
  <dimension ref="A1:P493"/>
  <sheetViews>
    <sheetView workbookViewId="0">
      <selection activeCell="I41" sqref="I41"/>
    </sheetView>
  </sheetViews>
  <sheetFormatPr defaultRowHeight="15"/>
  <cols>
    <col min="2" max="2" width="43.42578125" customWidth="1"/>
    <col min="3" max="3" width="42.42578125" customWidth="1"/>
    <col min="4" max="4" width="32.42578125" customWidth="1"/>
    <col min="5" max="5" width="37.5703125" customWidth="1"/>
    <col min="6" max="6" width="30" customWidth="1"/>
    <col min="7" max="7" width="41.5703125" customWidth="1"/>
    <col min="9" max="10" width="59.140625" customWidth="1"/>
    <col min="11" max="11" width="54.5703125" customWidth="1"/>
    <col min="13" max="13" width="9.140625" bestFit="1" customWidth="1"/>
    <col min="15" max="15" width="9.140625" bestFit="1" customWidth="1"/>
    <col min="16" max="16" width="34.7109375" customWidth="1"/>
  </cols>
  <sheetData>
    <row r="1" spans="1:16" ht="60">
      <c r="A1" s="25" t="s">
        <v>769</v>
      </c>
      <c r="B1" s="26" t="s">
        <v>770</v>
      </c>
      <c r="C1" s="27" t="s">
        <v>771</v>
      </c>
      <c r="D1" s="28" t="s">
        <v>772</v>
      </c>
      <c r="E1" s="28" t="s">
        <v>773</v>
      </c>
      <c r="F1" s="28" t="s">
        <v>774</v>
      </c>
      <c r="G1" s="28" t="s">
        <v>775</v>
      </c>
      <c r="H1" s="29" t="s">
        <v>776</v>
      </c>
      <c r="I1" s="30" t="s">
        <v>777</v>
      </c>
      <c r="J1" s="30" t="s">
        <v>778</v>
      </c>
      <c r="K1" s="29" t="s">
        <v>779</v>
      </c>
      <c r="L1" s="29" t="s">
        <v>780</v>
      </c>
      <c r="M1" s="31" t="s">
        <v>781</v>
      </c>
      <c r="N1" s="31" t="s">
        <v>782</v>
      </c>
      <c r="O1" s="31"/>
      <c r="P1" s="28" t="s">
        <v>783</v>
      </c>
    </row>
    <row r="2" spans="1:16">
      <c r="A2" s="32">
        <v>1</v>
      </c>
      <c r="B2" s="33" t="s">
        <v>784</v>
      </c>
      <c r="C2" s="34" t="s">
        <v>317</v>
      </c>
      <c r="D2" s="34" t="s">
        <v>785</v>
      </c>
      <c r="E2" s="34" t="s">
        <v>786</v>
      </c>
      <c r="F2" s="35">
        <v>44557</v>
      </c>
      <c r="G2" s="35">
        <f>F2</f>
        <v>44557</v>
      </c>
      <c r="H2" s="34"/>
      <c r="I2" s="36" t="s">
        <v>427</v>
      </c>
      <c r="J2" s="36"/>
      <c r="K2" s="34"/>
      <c r="L2" s="34"/>
      <c r="M2" s="37">
        <v>227905</v>
      </c>
      <c r="N2" s="37"/>
      <c r="O2" s="37">
        <f>SUM(M2:N2)</f>
        <v>227905</v>
      </c>
      <c r="P2" s="34" t="s">
        <v>787</v>
      </c>
    </row>
    <row r="3" spans="1:16">
      <c r="A3" s="32">
        <v>2</v>
      </c>
      <c r="B3" s="33" t="s">
        <v>784</v>
      </c>
      <c r="C3" s="34" t="s">
        <v>317</v>
      </c>
      <c r="D3" s="34" t="s">
        <v>785</v>
      </c>
      <c r="E3" s="34" t="s">
        <v>788</v>
      </c>
      <c r="F3" s="35">
        <v>44562</v>
      </c>
      <c r="G3" s="35">
        <f t="shared" ref="G3:G27" si="0">F3</f>
        <v>44562</v>
      </c>
      <c r="H3" s="34"/>
      <c r="I3" s="36" t="s">
        <v>384</v>
      </c>
      <c r="J3" s="36"/>
      <c r="K3" s="34"/>
      <c r="L3" s="34"/>
      <c r="M3" s="37">
        <v>227900</v>
      </c>
      <c r="N3" s="37"/>
      <c r="O3" s="37">
        <f t="shared" ref="O3:O66" si="1">SUM(M3:N3)</f>
        <v>227900</v>
      </c>
      <c r="P3" s="34" t="s">
        <v>787</v>
      </c>
    </row>
    <row r="4" spans="1:16">
      <c r="A4" s="32">
        <v>3</v>
      </c>
      <c r="B4" s="33" t="s">
        <v>784</v>
      </c>
      <c r="C4" s="34" t="s">
        <v>317</v>
      </c>
      <c r="D4" s="34" t="s">
        <v>789</v>
      </c>
      <c r="E4" s="34" t="s">
        <v>790</v>
      </c>
      <c r="F4" s="35">
        <v>44582</v>
      </c>
      <c r="G4" s="35">
        <f t="shared" si="0"/>
        <v>44582</v>
      </c>
      <c r="H4" s="34"/>
      <c r="I4" s="36" t="s">
        <v>791</v>
      </c>
      <c r="J4" s="36" t="s">
        <v>792</v>
      </c>
      <c r="K4" s="34"/>
      <c r="L4" s="34"/>
      <c r="M4" s="37">
        <v>87000</v>
      </c>
      <c r="N4" s="37"/>
      <c r="O4" s="37">
        <f t="shared" si="1"/>
        <v>87000</v>
      </c>
      <c r="P4" s="34" t="s">
        <v>787</v>
      </c>
    </row>
    <row r="5" spans="1:16">
      <c r="A5" s="32">
        <v>4</v>
      </c>
      <c r="B5" s="33" t="s">
        <v>784</v>
      </c>
      <c r="C5" s="34" t="s">
        <v>15</v>
      </c>
      <c r="D5" s="34" t="s">
        <v>793</v>
      </c>
      <c r="E5" s="34" t="s">
        <v>794</v>
      </c>
      <c r="F5" s="35">
        <v>44583</v>
      </c>
      <c r="G5" s="35">
        <f t="shared" si="0"/>
        <v>44583</v>
      </c>
      <c r="H5" s="34"/>
      <c r="I5" s="38">
        <v>798522773400072</v>
      </c>
      <c r="J5" s="36" t="s">
        <v>792</v>
      </c>
      <c r="K5" s="34"/>
      <c r="L5" s="34"/>
      <c r="M5" s="37">
        <v>16103</v>
      </c>
      <c r="N5" s="37"/>
      <c r="O5" s="37">
        <f t="shared" si="1"/>
        <v>16103</v>
      </c>
      <c r="P5" s="34" t="s">
        <v>787</v>
      </c>
    </row>
    <row r="6" spans="1:16">
      <c r="A6" s="39">
        <v>5</v>
      </c>
      <c r="B6" s="40" t="s">
        <v>784</v>
      </c>
      <c r="C6" s="39" t="s">
        <v>317</v>
      </c>
      <c r="D6" s="39" t="s">
        <v>795</v>
      </c>
      <c r="E6" s="39" t="s">
        <v>796</v>
      </c>
      <c r="F6" s="41">
        <v>44594</v>
      </c>
      <c r="G6" s="41">
        <f t="shared" si="0"/>
        <v>44594</v>
      </c>
      <c r="H6" s="39"/>
      <c r="I6" s="42" t="s">
        <v>797</v>
      </c>
      <c r="J6" s="42" t="s">
        <v>792</v>
      </c>
      <c r="K6" s="39"/>
      <c r="L6" s="39"/>
      <c r="M6" s="43"/>
      <c r="N6" s="43">
        <v>33282.18</v>
      </c>
      <c r="O6" s="37">
        <f t="shared" si="1"/>
        <v>33282.18</v>
      </c>
      <c r="P6" s="39" t="s">
        <v>798</v>
      </c>
    </row>
    <row r="7" spans="1:16">
      <c r="A7" s="39">
        <v>6</v>
      </c>
      <c r="B7" s="40" t="s">
        <v>784</v>
      </c>
      <c r="C7" s="39" t="s">
        <v>317</v>
      </c>
      <c r="D7" s="39" t="s">
        <v>795</v>
      </c>
      <c r="E7" s="39" t="s">
        <v>799</v>
      </c>
      <c r="F7" s="41">
        <v>44594</v>
      </c>
      <c r="G7" s="41">
        <f t="shared" si="0"/>
        <v>44594</v>
      </c>
      <c r="H7" s="39"/>
      <c r="I7" s="42" t="s">
        <v>441</v>
      </c>
      <c r="J7" s="42"/>
      <c r="K7" s="39"/>
      <c r="L7" s="39"/>
      <c r="M7" s="43"/>
      <c r="N7" s="43">
        <v>19379.88</v>
      </c>
      <c r="O7" s="37">
        <f t="shared" si="1"/>
        <v>19379.88</v>
      </c>
      <c r="P7" s="39" t="s">
        <v>798</v>
      </c>
    </row>
    <row r="8" spans="1:16">
      <c r="A8" s="32">
        <v>7</v>
      </c>
      <c r="B8" s="33" t="s">
        <v>784</v>
      </c>
      <c r="C8" s="34" t="s">
        <v>317</v>
      </c>
      <c r="D8" s="34" t="s">
        <v>795</v>
      </c>
      <c r="E8" s="34" t="s">
        <v>800</v>
      </c>
      <c r="F8" s="35">
        <v>44599</v>
      </c>
      <c r="G8" s="35">
        <f t="shared" si="0"/>
        <v>44599</v>
      </c>
      <c r="H8" s="34"/>
      <c r="I8" s="36" t="s">
        <v>801</v>
      </c>
      <c r="J8" s="36" t="s">
        <v>792</v>
      </c>
      <c r="K8" s="34"/>
      <c r="L8" s="34"/>
      <c r="M8" s="37">
        <v>1113844.48</v>
      </c>
      <c r="N8" s="37"/>
      <c r="O8" s="37">
        <f t="shared" si="1"/>
        <v>1113844.48</v>
      </c>
      <c r="P8" s="34" t="s">
        <v>787</v>
      </c>
    </row>
    <row r="9" spans="1:16">
      <c r="A9" s="32">
        <v>8</v>
      </c>
      <c r="B9" s="33" t="s">
        <v>784</v>
      </c>
      <c r="C9" s="34" t="s">
        <v>317</v>
      </c>
      <c r="D9" s="34" t="s">
        <v>795</v>
      </c>
      <c r="E9" s="34" t="s">
        <v>800</v>
      </c>
      <c r="F9" s="35">
        <v>44599</v>
      </c>
      <c r="G9" s="35">
        <f t="shared" si="0"/>
        <v>44599</v>
      </c>
      <c r="H9" s="34"/>
      <c r="I9" s="44" t="s">
        <v>802</v>
      </c>
      <c r="J9" s="44" t="s">
        <v>792</v>
      </c>
      <c r="K9" s="34"/>
      <c r="L9" s="34"/>
      <c r="M9" s="37"/>
      <c r="N9" s="37"/>
      <c r="O9" s="37">
        <v>181600</v>
      </c>
      <c r="P9" s="34"/>
    </row>
    <row r="10" spans="1:16">
      <c r="A10" s="32">
        <v>9</v>
      </c>
      <c r="B10" s="33" t="s">
        <v>784</v>
      </c>
      <c r="C10" s="34" t="s">
        <v>317</v>
      </c>
      <c r="D10" s="34" t="s">
        <v>795</v>
      </c>
      <c r="E10" s="34" t="s">
        <v>800</v>
      </c>
      <c r="F10" s="35">
        <v>44599</v>
      </c>
      <c r="G10" s="35">
        <f t="shared" si="0"/>
        <v>44599</v>
      </c>
      <c r="H10" s="34"/>
      <c r="I10" s="44" t="s">
        <v>803</v>
      </c>
      <c r="J10" s="44" t="s">
        <v>792</v>
      </c>
      <c r="K10" s="34"/>
      <c r="L10" s="34"/>
      <c r="M10" s="37"/>
      <c r="N10" s="37"/>
      <c r="O10" s="37">
        <v>181600</v>
      </c>
      <c r="P10" s="34"/>
    </row>
    <row r="11" spans="1:16">
      <c r="A11" s="32">
        <v>10</v>
      </c>
      <c r="B11" s="33" t="s">
        <v>784</v>
      </c>
      <c r="C11" s="34" t="s">
        <v>317</v>
      </c>
      <c r="D11" s="34" t="s">
        <v>795</v>
      </c>
      <c r="E11" s="34" t="s">
        <v>800</v>
      </c>
      <c r="F11" s="35">
        <v>44599</v>
      </c>
      <c r="G11" s="35">
        <f t="shared" si="0"/>
        <v>44599</v>
      </c>
      <c r="H11" s="34"/>
      <c r="I11" s="44" t="s">
        <v>804</v>
      </c>
      <c r="J11" s="44" t="s">
        <v>792</v>
      </c>
      <c r="K11" s="34"/>
      <c r="L11" s="34"/>
      <c r="M11" s="37"/>
      <c r="N11" s="37"/>
      <c r="O11" s="37">
        <v>181600</v>
      </c>
      <c r="P11" s="34"/>
    </row>
    <row r="12" spans="1:16">
      <c r="A12" s="32">
        <v>11</v>
      </c>
      <c r="B12" s="33" t="s">
        <v>784</v>
      </c>
      <c r="C12" s="34" t="s">
        <v>317</v>
      </c>
      <c r="D12" s="34" t="s">
        <v>795</v>
      </c>
      <c r="E12" s="34" t="s">
        <v>800</v>
      </c>
      <c r="F12" s="35">
        <v>44599</v>
      </c>
      <c r="G12" s="35">
        <f t="shared" si="0"/>
        <v>44599</v>
      </c>
      <c r="H12" s="34"/>
      <c r="I12" s="44" t="s">
        <v>805</v>
      </c>
      <c r="J12" s="44" t="s">
        <v>792</v>
      </c>
      <c r="K12" s="34"/>
      <c r="L12" s="34"/>
      <c r="M12" s="37"/>
      <c r="N12" s="37"/>
      <c r="O12" s="37">
        <v>181600</v>
      </c>
      <c r="P12" s="34"/>
    </row>
    <row r="13" spans="1:16">
      <c r="A13" s="32">
        <v>12</v>
      </c>
      <c r="B13" s="33" t="s">
        <v>784</v>
      </c>
      <c r="C13" s="34" t="s">
        <v>317</v>
      </c>
      <c r="D13" s="34" t="s">
        <v>795</v>
      </c>
      <c r="E13" s="34" t="s">
        <v>800</v>
      </c>
      <c r="F13" s="35">
        <v>44599</v>
      </c>
      <c r="G13" s="35">
        <f t="shared" si="0"/>
        <v>44599</v>
      </c>
      <c r="H13" s="34"/>
      <c r="I13" s="44" t="s">
        <v>584</v>
      </c>
      <c r="J13" s="44"/>
      <c r="K13" s="34"/>
      <c r="L13" s="34"/>
      <c r="M13" s="37"/>
      <c r="N13" s="37"/>
      <c r="O13" s="37">
        <v>181600</v>
      </c>
      <c r="P13" s="34"/>
    </row>
    <row r="14" spans="1:16">
      <c r="A14" s="32">
        <v>13</v>
      </c>
      <c r="B14" s="33" t="s">
        <v>784</v>
      </c>
      <c r="C14" s="34" t="s">
        <v>317</v>
      </c>
      <c r="D14" s="34" t="s">
        <v>795</v>
      </c>
      <c r="E14" s="34" t="s">
        <v>806</v>
      </c>
      <c r="F14" s="35">
        <v>44599</v>
      </c>
      <c r="G14" s="35">
        <f t="shared" si="0"/>
        <v>44599</v>
      </c>
      <c r="H14" s="34"/>
      <c r="I14" s="44" t="s">
        <v>807</v>
      </c>
      <c r="J14" s="44" t="s">
        <v>792</v>
      </c>
      <c r="K14" s="34"/>
      <c r="L14" s="34"/>
      <c r="M14" s="37">
        <v>215823</v>
      </c>
      <c r="N14" s="37"/>
      <c r="O14" s="37">
        <f t="shared" si="1"/>
        <v>215823</v>
      </c>
      <c r="P14" s="34" t="s">
        <v>787</v>
      </c>
    </row>
    <row r="15" spans="1:16">
      <c r="A15" s="32">
        <v>14</v>
      </c>
      <c r="B15" s="33" t="s">
        <v>784</v>
      </c>
      <c r="C15" s="34" t="s">
        <v>317</v>
      </c>
      <c r="D15" s="34" t="s">
        <v>795</v>
      </c>
      <c r="E15" s="34" t="s">
        <v>808</v>
      </c>
      <c r="F15" s="35">
        <v>44617</v>
      </c>
      <c r="G15" s="35">
        <f t="shared" si="0"/>
        <v>44617</v>
      </c>
      <c r="H15" s="34"/>
      <c r="I15" s="44" t="s">
        <v>809</v>
      </c>
      <c r="J15" s="44" t="s">
        <v>792</v>
      </c>
      <c r="K15" s="34"/>
      <c r="L15" s="34"/>
      <c r="M15" s="37">
        <v>866832.72</v>
      </c>
      <c r="N15" s="37"/>
      <c r="O15" s="37">
        <f t="shared" si="1"/>
        <v>866832.72</v>
      </c>
      <c r="P15" s="34" t="s">
        <v>787</v>
      </c>
    </row>
    <row r="16" spans="1:16">
      <c r="A16" s="32">
        <v>15</v>
      </c>
      <c r="B16" s="33" t="s">
        <v>784</v>
      </c>
      <c r="C16" s="34" t="s">
        <v>317</v>
      </c>
      <c r="D16" s="34" t="s">
        <v>795</v>
      </c>
      <c r="E16" s="34" t="s">
        <v>808</v>
      </c>
      <c r="F16" s="35">
        <v>44617</v>
      </c>
      <c r="G16" s="35">
        <f t="shared" si="0"/>
        <v>44617</v>
      </c>
      <c r="H16" s="34"/>
      <c r="I16" s="44" t="s">
        <v>810</v>
      </c>
      <c r="J16" s="44" t="s">
        <v>792</v>
      </c>
      <c r="K16" s="34"/>
      <c r="L16" s="34"/>
      <c r="M16" s="37"/>
      <c r="N16" s="37"/>
      <c r="O16" s="37">
        <v>181600</v>
      </c>
      <c r="P16" s="32"/>
    </row>
    <row r="17" spans="1:16">
      <c r="A17" s="32">
        <v>16</v>
      </c>
      <c r="B17" s="33" t="s">
        <v>784</v>
      </c>
      <c r="C17" s="34" t="s">
        <v>317</v>
      </c>
      <c r="D17" s="34" t="s">
        <v>795</v>
      </c>
      <c r="E17" s="34" t="s">
        <v>808</v>
      </c>
      <c r="F17" s="35">
        <v>44617</v>
      </c>
      <c r="G17" s="35">
        <f t="shared" si="0"/>
        <v>44617</v>
      </c>
      <c r="H17" s="34"/>
      <c r="I17" s="44" t="s">
        <v>811</v>
      </c>
      <c r="J17" s="44" t="s">
        <v>792</v>
      </c>
      <c r="K17" s="34"/>
      <c r="L17" s="34"/>
      <c r="M17" s="37"/>
      <c r="N17" s="37"/>
      <c r="O17" s="37">
        <v>181600</v>
      </c>
      <c r="P17" s="32"/>
    </row>
    <row r="18" spans="1:16">
      <c r="A18" s="32">
        <v>17</v>
      </c>
      <c r="B18" s="33" t="s">
        <v>784</v>
      </c>
      <c r="C18" s="34" t="s">
        <v>317</v>
      </c>
      <c r="D18" s="34" t="s">
        <v>795</v>
      </c>
      <c r="E18" s="34" t="s">
        <v>808</v>
      </c>
      <c r="F18" s="35">
        <v>44617</v>
      </c>
      <c r="G18" s="35">
        <f t="shared" si="0"/>
        <v>44617</v>
      </c>
      <c r="H18" s="34"/>
      <c r="I18" s="44" t="s">
        <v>493</v>
      </c>
      <c r="J18" s="44"/>
      <c r="K18" s="34"/>
      <c r="L18" s="34"/>
      <c r="M18" s="37"/>
      <c r="N18" s="37"/>
      <c r="O18" s="37">
        <v>181600</v>
      </c>
      <c r="P18" s="32"/>
    </row>
    <row r="19" spans="1:16">
      <c r="A19" s="32">
        <v>18</v>
      </c>
      <c r="B19" s="33" t="s">
        <v>784</v>
      </c>
      <c r="C19" s="34" t="s">
        <v>15</v>
      </c>
      <c r="D19" s="34" t="s">
        <v>795</v>
      </c>
      <c r="E19" s="34" t="s">
        <v>812</v>
      </c>
      <c r="F19" s="35">
        <v>44637</v>
      </c>
      <c r="G19" s="35">
        <f t="shared" si="0"/>
        <v>44637</v>
      </c>
      <c r="H19" s="34"/>
      <c r="I19" s="44" t="s">
        <v>813</v>
      </c>
      <c r="J19" s="44" t="s">
        <v>792</v>
      </c>
      <c r="K19" s="34"/>
      <c r="L19" s="34"/>
      <c r="M19" s="37">
        <v>34134</v>
      </c>
      <c r="N19" s="37">
        <v>6144.12</v>
      </c>
      <c r="O19" s="37">
        <f t="shared" si="1"/>
        <v>40278.120000000003</v>
      </c>
      <c r="P19" s="32"/>
    </row>
    <row r="20" spans="1:16">
      <c r="A20" s="32">
        <v>19</v>
      </c>
      <c r="B20" s="33" t="s">
        <v>784</v>
      </c>
      <c r="C20" s="34" t="s">
        <v>15</v>
      </c>
      <c r="D20" s="34" t="s">
        <v>795</v>
      </c>
      <c r="E20" s="34" t="s">
        <v>812</v>
      </c>
      <c r="F20" s="35">
        <v>44637</v>
      </c>
      <c r="G20" s="35">
        <f t="shared" si="0"/>
        <v>44637</v>
      </c>
      <c r="H20" s="34"/>
      <c r="I20" s="44" t="s">
        <v>814</v>
      </c>
      <c r="J20" s="44" t="s">
        <v>792</v>
      </c>
      <c r="K20" s="34"/>
      <c r="L20" s="34"/>
      <c r="M20" s="37"/>
      <c r="N20" s="37"/>
      <c r="O20" s="37">
        <f t="shared" si="1"/>
        <v>0</v>
      </c>
      <c r="P20" s="32"/>
    </row>
    <row r="21" spans="1:16">
      <c r="A21" s="32">
        <v>20</v>
      </c>
      <c r="B21" s="33" t="s">
        <v>784</v>
      </c>
      <c r="C21" s="34" t="s">
        <v>15</v>
      </c>
      <c r="D21" s="34" t="s">
        <v>795</v>
      </c>
      <c r="E21" s="34" t="s">
        <v>815</v>
      </c>
      <c r="F21" s="35">
        <v>44637</v>
      </c>
      <c r="G21" s="35">
        <f t="shared" si="0"/>
        <v>44637</v>
      </c>
      <c r="H21" s="34"/>
      <c r="I21" s="44" t="s">
        <v>816</v>
      </c>
      <c r="J21" s="44" t="s">
        <v>792</v>
      </c>
      <c r="K21" s="34"/>
      <c r="L21" s="34"/>
      <c r="M21" s="37">
        <v>34134</v>
      </c>
      <c r="N21" s="37">
        <v>6144.12</v>
      </c>
      <c r="O21" s="37">
        <f t="shared" si="1"/>
        <v>40278.120000000003</v>
      </c>
      <c r="P21" s="32"/>
    </row>
    <row r="22" spans="1:16">
      <c r="A22" s="32">
        <v>21</v>
      </c>
      <c r="B22" s="33" t="s">
        <v>784</v>
      </c>
      <c r="C22" s="34" t="s">
        <v>15</v>
      </c>
      <c r="D22" s="34" t="s">
        <v>795</v>
      </c>
      <c r="E22" s="34" t="s">
        <v>815</v>
      </c>
      <c r="F22" s="35">
        <v>44637</v>
      </c>
      <c r="G22" s="35">
        <f t="shared" si="0"/>
        <v>44637</v>
      </c>
      <c r="H22" s="34"/>
      <c r="I22" s="44" t="s">
        <v>817</v>
      </c>
      <c r="J22" s="44" t="s">
        <v>792</v>
      </c>
      <c r="K22" s="34"/>
      <c r="L22" s="34"/>
      <c r="M22" s="37"/>
      <c r="N22" s="37"/>
      <c r="O22" s="37">
        <f t="shared" si="1"/>
        <v>0</v>
      </c>
      <c r="P22" s="32"/>
    </row>
    <row r="23" spans="1:16">
      <c r="A23" s="32">
        <v>22</v>
      </c>
      <c r="B23" s="33" t="s">
        <v>784</v>
      </c>
      <c r="C23" s="34" t="s">
        <v>15</v>
      </c>
      <c r="D23" s="34" t="s">
        <v>795</v>
      </c>
      <c r="E23" s="34" t="s">
        <v>818</v>
      </c>
      <c r="F23" s="35">
        <v>44637</v>
      </c>
      <c r="G23" s="35">
        <f t="shared" si="0"/>
        <v>44637</v>
      </c>
      <c r="H23" s="34"/>
      <c r="I23" s="44" t="s">
        <v>819</v>
      </c>
      <c r="J23" s="44" t="s">
        <v>792</v>
      </c>
      <c r="K23" s="34"/>
      <c r="L23" s="34"/>
      <c r="M23" s="37">
        <v>34134</v>
      </c>
      <c r="N23" s="37">
        <v>6144.12</v>
      </c>
      <c r="O23" s="37">
        <f t="shared" si="1"/>
        <v>40278.120000000003</v>
      </c>
      <c r="P23" s="32"/>
    </row>
    <row r="24" spans="1:16">
      <c r="A24" s="32">
        <v>23</v>
      </c>
      <c r="B24" s="33" t="s">
        <v>784</v>
      </c>
      <c r="C24" s="34" t="s">
        <v>15</v>
      </c>
      <c r="D24" s="34" t="s">
        <v>795</v>
      </c>
      <c r="E24" s="34" t="s">
        <v>818</v>
      </c>
      <c r="F24" s="35">
        <v>44637</v>
      </c>
      <c r="G24" s="35">
        <f t="shared" si="0"/>
        <v>44637</v>
      </c>
      <c r="H24" s="34"/>
      <c r="I24" s="44" t="s">
        <v>820</v>
      </c>
      <c r="J24" s="44" t="s">
        <v>792</v>
      </c>
      <c r="K24" s="34"/>
      <c r="L24" s="34"/>
      <c r="M24" s="37"/>
      <c r="N24" s="37"/>
      <c r="O24" s="37">
        <f t="shared" si="1"/>
        <v>0</v>
      </c>
      <c r="P24" s="32"/>
    </row>
    <row r="25" spans="1:16">
      <c r="A25" s="32">
        <v>24</v>
      </c>
      <c r="B25" s="33" t="s">
        <v>784</v>
      </c>
      <c r="C25" s="34" t="s">
        <v>15</v>
      </c>
      <c r="D25" s="34" t="s">
        <v>795</v>
      </c>
      <c r="E25" s="34" t="s">
        <v>821</v>
      </c>
      <c r="F25" s="35">
        <v>44637</v>
      </c>
      <c r="G25" s="35">
        <f t="shared" si="0"/>
        <v>44637</v>
      </c>
      <c r="H25" s="34"/>
      <c r="I25" s="44" t="s">
        <v>822</v>
      </c>
      <c r="J25" s="44"/>
      <c r="K25" s="34"/>
      <c r="L25" s="34"/>
      <c r="M25" s="37">
        <v>17067</v>
      </c>
      <c r="N25" s="37">
        <f>M25*18%</f>
        <v>3072.06</v>
      </c>
      <c r="O25" s="37">
        <f t="shared" si="1"/>
        <v>20139.060000000001</v>
      </c>
      <c r="P25" s="32"/>
    </row>
    <row r="26" spans="1:16">
      <c r="A26" s="32">
        <v>25</v>
      </c>
      <c r="B26" s="33" t="s">
        <v>784</v>
      </c>
      <c r="C26" s="34" t="s">
        <v>15</v>
      </c>
      <c r="D26" s="34" t="s">
        <v>795</v>
      </c>
      <c r="E26" s="34" t="s">
        <v>823</v>
      </c>
      <c r="F26" s="35">
        <v>44641</v>
      </c>
      <c r="G26" s="35">
        <f t="shared" si="0"/>
        <v>44641</v>
      </c>
      <c r="H26" s="34"/>
      <c r="I26" s="44" t="s">
        <v>824</v>
      </c>
      <c r="J26" s="44" t="s">
        <v>792</v>
      </c>
      <c r="K26" s="34"/>
      <c r="L26" s="34"/>
      <c r="M26" s="37">
        <v>17067</v>
      </c>
      <c r="N26" s="37">
        <f t="shared" ref="N26:N28" si="2">M26*18%</f>
        <v>3072.06</v>
      </c>
      <c r="O26" s="37">
        <f t="shared" si="1"/>
        <v>20139.060000000001</v>
      </c>
      <c r="P26" s="32"/>
    </row>
    <row r="27" spans="1:16">
      <c r="A27" s="32">
        <v>26</v>
      </c>
      <c r="B27" s="33" t="s">
        <v>784</v>
      </c>
      <c r="C27" s="34" t="s">
        <v>317</v>
      </c>
      <c r="D27" s="34" t="s">
        <v>795</v>
      </c>
      <c r="E27" s="34" t="s">
        <v>823</v>
      </c>
      <c r="F27" s="35">
        <v>44641</v>
      </c>
      <c r="G27" s="35">
        <f t="shared" si="0"/>
        <v>44641</v>
      </c>
      <c r="H27" s="34"/>
      <c r="I27" s="44" t="s">
        <v>366</v>
      </c>
      <c r="J27" s="44"/>
      <c r="K27" s="34"/>
      <c r="L27" s="34"/>
      <c r="M27" s="37">
        <v>182901</v>
      </c>
      <c r="N27" s="37">
        <f t="shared" si="2"/>
        <v>32922.18</v>
      </c>
      <c r="O27" s="37">
        <f t="shared" si="1"/>
        <v>215823.18</v>
      </c>
      <c r="P27" s="32"/>
    </row>
    <row r="28" spans="1:16">
      <c r="A28" s="32">
        <v>27</v>
      </c>
      <c r="B28" s="33" t="s">
        <v>784</v>
      </c>
      <c r="C28" s="34" t="s">
        <v>15</v>
      </c>
      <c r="D28" s="34" t="s">
        <v>795</v>
      </c>
      <c r="E28" s="34" t="s">
        <v>825</v>
      </c>
      <c r="F28" s="45">
        <v>44743</v>
      </c>
      <c r="G28" s="45">
        <v>44715</v>
      </c>
      <c r="H28" s="34"/>
      <c r="I28" s="44" t="s">
        <v>826</v>
      </c>
      <c r="J28" s="44" t="s">
        <v>792</v>
      </c>
      <c r="K28" s="34"/>
      <c r="L28" s="34"/>
      <c r="M28" s="37">
        <v>34134</v>
      </c>
      <c r="N28" s="37">
        <f t="shared" si="2"/>
        <v>6144.12</v>
      </c>
      <c r="O28" s="37">
        <f t="shared" si="1"/>
        <v>40278.120000000003</v>
      </c>
      <c r="P28" s="32"/>
    </row>
    <row r="29" spans="1:16">
      <c r="A29" s="32">
        <v>28</v>
      </c>
      <c r="B29" s="33" t="s">
        <v>784</v>
      </c>
      <c r="C29" s="34" t="s">
        <v>15</v>
      </c>
      <c r="D29" s="34" t="s">
        <v>795</v>
      </c>
      <c r="E29" s="34" t="s">
        <v>825</v>
      </c>
      <c r="F29" s="45">
        <v>44743</v>
      </c>
      <c r="G29" s="45">
        <v>44715</v>
      </c>
      <c r="H29" s="34"/>
      <c r="I29" s="44" t="s">
        <v>827</v>
      </c>
      <c r="J29" s="44" t="s">
        <v>792</v>
      </c>
      <c r="K29" s="34"/>
      <c r="L29" s="34"/>
      <c r="M29" s="37"/>
      <c r="N29" s="37"/>
      <c r="O29" s="37">
        <f t="shared" si="1"/>
        <v>0</v>
      </c>
      <c r="P29" s="32"/>
    </row>
    <row r="30" spans="1:16">
      <c r="A30" s="32">
        <v>29</v>
      </c>
      <c r="B30" s="33" t="s">
        <v>784</v>
      </c>
      <c r="C30" s="34" t="s">
        <v>15</v>
      </c>
      <c r="D30" s="34" t="s">
        <v>795</v>
      </c>
      <c r="E30" s="34" t="s">
        <v>828</v>
      </c>
      <c r="F30" s="45">
        <v>44743</v>
      </c>
      <c r="G30" s="45">
        <v>44715</v>
      </c>
      <c r="H30" s="34"/>
      <c r="I30" s="44" t="s">
        <v>829</v>
      </c>
      <c r="J30" s="44"/>
      <c r="K30" s="34"/>
      <c r="L30" s="34"/>
      <c r="M30" s="37">
        <v>17067</v>
      </c>
      <c r="N30" s="37">
        <f>M30*18%</f>
        <v>3072.06</v>
      </c>
      <c r="O30" s="37">
        <f t="shared" si="1"/>
        <v>20139.060000000001</v>
      </c>
      <c r="P30" s="32"/>
    </row>
    <row r="31" spans="1:16">
      <c r="A31" s="32">
        <v>30</v>
      </c>
      <c r="B31" s="33" t="s">
        <v>784</v>
      </c>
      <c r="C31" s="34" t="s">
        <v>15</v>
      </c>
      <c r="D31" s="34" t="s">
        <v>795</v>
      </c>
      <c r="E31" s="34" t="s">
        <v>830</v>
      </c>
      <c r="F31" s="46">
        <v>44807</v>
      </c>
      <c r="G31" s="46">
        <v>44811</v>
      </c>
      <c r="H31" s="34"/>
      <c r="I31" s="44" t="s">
        <v>831</v>
      </c>
      <c r="J31" s="44"/>
      <c r="K31" s="34"/>
      <c r="L31" s="34"/>
      <c r="M31" s="37">
        <v>17067</v>
      </c>
      <c r="N31" s="37">
        <f t="shared" ref="N31:N34" si="3">M31*18%</f>
        <v>3072.06</v>
      </c>
      <c r="O31" s="37">
        <f t="shared" si="1"/>
        <v>20139.060000000001</v>
      </c>
      <c r="P31" s="32"/>
    </row>
    <row r="32" spans="1:16">
      <c r="A32" s="32">
        <v>31</v>
      </c>
      <c r="B32" s="33" t="s">
        <v>784</v>
      </c>
      <c r="C32" s="34" t="s">
        <v>317</v>
      </c>
      <c r="D32" s="34" t="s">
        <v>795</v>
      </c>
      <c r="E32" s="34" t="s">
        <v>830</v>
      </c>
      <c r="F32" s="46">
        <v>44807</v>
      </c>
      <c r="G32" s="46">
        <v>44811</v>
      </c>
      <c r="H32" s="34"/>
      <c r="I32" s="44" t="s">
        <v>832</v>
      </c>
      <c r="J32" s="44" t="s">
        <v>792</v>
      </c>
      <c r="K32" s="34"/>
      <c r="L32" s="34"/>
      <c r="M32" s="37">
        <v>182901</v>
      </c>
      <c r="N32" s="37">
        <f t="shared" si="3"/>
        <v>32922.18</v>
      </c>
      <c r="O32" s="37">
        <f t="shared" si="1"/>
        <v>215823.18</v>
      </c>
      <c r="P32" s="32"/>
    </row>
    <row r="33" spans="1:16">
      <c r="A33" s="32">
        <v>32</v>
      </c>
      <c r="B33" s="33" t="s">
        <v>784</v>
      </c>
      <c r="C33" s="34" t="s">
        <v>317</v>
      </c>
      <c r="D33" s="34" t="s">
        <v>795</v>
      </c>
      <c r="E33" s="34" t="s">
        <v>833</v>
      </c>
      <c r="F33" s="35">
        <v>44852</v>
      </c>
      <c r="G33" s="46">
        <f t="shared" ref="G33:G37" si="4">F33</f>
        <v>44852</v>
      </c>
      <c r="H33" s="34"/>
      <c r="I33" s="44" t="s">
        <v>501</v>
      </c>
      <c r="J33" s="44"/>
      <c r="K33" s="34"/>
      <c r="L33" s="34"/>
      <c r="M33" s="37">
        <v>182901</v>
      </c>
      <c r="N33" s="37">
        <f t="shared" si="3"/>
        <v>32922.18</v>
      </c>
      <c r="O33" s="37">
        <f t="shared" si="1"/>
        <v>215823.18</v>
      </c>
      <c r="P33" s="32"/>
    </row>
    <row r="34" spans="1:16">
      <c r="A34" s="32">
        <v>33</v>
      </c>
      <c r="B34" s="33" t="s">
        <v>784</v>
      </c>
      <c r="C34" s="34" t="s">
        <v>317</v>
      </c>
      <c r="D34" s="34" t="s">
        <v>795</v>
      </c>
      <c r="E34" s="34" t="s">
        <v>834</v>
      </c>
      <c r="F34" s="35">
        <v>44852</v>
      </c>
      <c r="G34" s="46">
        <f t="shared" si="4"/>
        <v>44852</v>
      </c>
      <c r="H34" s="34"/>
      <c r="I34" s="44" t="s">
        <v>835</v>
      </c>
      <c r="J34" s="44" t="s">
        <v>792</v>
      </c>
      <c r="K34" s="34"/>
      <c r="L34" s="34"/>
      <c r="M34" s="37">
        <v>182901</v>
      </c>
      <c r="N34" s="37">
        <f t="shared" si="3"/>
        <v>32922.18</v>
      </c>
      <c r="O34" s="37">
        <f t="shared" si="1"/>
        <v>215823.18</v>
      </c>
      <c r="P34" s="32"/>
    </row>
    <row r="35" spans="1:16">
      <c r="A35" s="32">
        <v>34</v>
      </c>
      <c r="B35" s="33" t="s">
        <v>784</v>
      </c>
      <c r="C35" s="34" t="s">
        <v>15</v>
      </c>
      <c r="D35" s="34" t="s">
        <v>795</v>
      </c>
      <c r="E35" s="34" t="s">
        <v>836</v>
      </c>
      <c r="F35" s="35">
        <v>44889</v>
      </c>
      <c r="G35" s="46">
        <f t="shared" si="4"/>
        <v>44889</v>
      </c>
      <c r="H35" s="34"/>
      <c r="I35" s="47" t="s">
        <v>837</v>
      </c>
      <c r="J35" s="44" t="s">
        <v>792</v>
      </c>
      <c r="K35" s="34"/>
      <c r="L35" s="34"/>
      <c r="M35" s="37">
        <v>17067</v>
      </c>
      <c r="N35" s="37">
        <f>M35*18%</f>
        <v>3072.06</v>
      </c>
      <c r="O35" s="37">
        <f t="shared" si="1"/>
        <v>20139.060000000001</v>
      </c>
      <c r="P35" s="32"/>
    </row>
    <row r="36" spans="1:16">
      <c r="A36" s="32">
        <v>35</v>
      </c>
      <c r="B36" s="33" t="s">
        <v>784</v>
      </c>
      <c r="C36" s="34" t="s">
        <v>15</v>
      </c>
      <c r="D36" s="34" t="s">
        <v>795</v>
      </c>
      <c r="E36" s="34" t="s">
        <v>838</v>
      </c>
      <c r="F36" s="35">
        <v>44889</v>
      </c>
      <c r="G36" s="46">
        <f t="shared" si="4"/>
        <v>44889</v>
      </c>
      <c r="H36" s="34"/>
      <c r="I36" s="47" t="s">
        <v>839</v>
      </c>
      <c r="J36" s="44" t="s">
        <v>792</v>
      </c>
      <c r="K36" s="34"/>
      <c r="L36" s="34"/>
      <c r="M36" s="37">
        <v>34134</v>
      </c>
      <c r="N36" s="37">
        <f t="shared" ref="N36" si="5">M36*18%</f>
        <v>6144.12</v>
      </c>
      <c r="O36" s="37">
        <f t="shared" si="1"/>
        <v>40278.120000000003</v>
      </c>
      <c r="P36" s="32"/>
    </row>
    <row r="37" spans="1:16">
      <c r="A37" s="32">
        <v>36</v>
      </c>
      <c r="B37" s="33" t="s">
        <v>784</v>
      </c>
      <c r="C37" s="34" t="s">
        <v>15</v>
      </c>
      <c r="D37" s="34" t="s">
        <v>795</v>
      </c>
      <c r="E37" s="34" t="s">
        <v>838</v>
      </c>
      <c r="F37" s="35">
        <v>44889</v>
      </c>
      <c r="G37" s="46">
        <f t="shared" si="4"/>
        <v>44889</v>
      </c>
      <c r="H37" s="34"/>
      <c r="I37" s="47" t="s">
        <v>840</v>
      </c>
      <c r="J37" s="44" t="s">
        <v>792</v>
      </c>
      <c r="K37" s="34"/>
      <c r="L37" s="34"/>
      <c r="M37" s="37"/>
      <c r="N37" s="37"/>
      <c r="O37" s="37">
        <f t="shared" si="1"/>
        <v>0</v>
      </c>
      <c r="P37" s="32"/>
    </row>
    <row r="38" spans="1:16">
      <c r="A38" s="32">
        <v>37</v>
      </c>
      <c r="B38" s="33" t="s">
        <v>784</v>
      </c>
      <c r="C38" s="34" t="s">
        <v>15</v>
      </c>
      <c r="D38" s="34" t="s">
        <v>795</v>
      </c>
      <c r="E38" s="34" t="s">
        <v>841</v>
      </c>
      <c r="F38" s="35">
        <v>44893</v>
      </c>
      <c r="G38" s="35">
        <f>F38</f>
        <v>44893</v>
      </c>
      <c r="H38" s="34"/>
      <c r="I38" s="44" t="s">
        <v>842</v>
      </c>
      <c r="J38" s="44" t="s">
        <v>792</v>
      </c>
      <c r="K38" s="34"/>
      <c r="L38" s="34"/>
      <c r="M38" s="37">
        <v>182901</v>
      </c>
      <c r="N38" s="37">
        <f>M38*18%</f>
        <v>32922.18</v>
      </c>
      <c r="O38" s="37">
        <f t="shared" si="1"/>
        <v>215823.18</v>
      </c>
      <c r="P38" s="32"/>
    </row>
    <row r="39" spans="1:16">
      <c r="A39" s="32">
        <v>38</v>
      </c>
      <c r="B39" s="33" t="s">
        <v>784</v>
      </c>
      <c r="C39" s="34" t="s">
        <v>317</v>
      </c>
      <c r="D39" s="34" t="s">
        <v>795</v>
      </c>
      <c r="E39" s="34" t="s">
        <v>841</v>
      </c>
      <c r="F39" s="35">
        <v>44893</v>
      </c>
      <c r="G39" s="35">
        <f t="shared" ref="G39:G46" si="6">F39</f>
        <v>44893</v>
      </c>
      <c r="H39" s="34"/>
      <c r="I39" s="44" t="s">
        <v>843</v>
      </c>
      <c r="J39" s="5"/>
      <c r="K39" s="34"/>
      <c r="L39" s="34"/>
      <c r="M39" s="37">
        <v>34134</v>
      </c>
      <c r="N39" s="37">
        <f>M39*18%</f>
        <v>6144.12</v>
      </c>
      <c r="O39" s="37">
        <f t="shared" si="1"/>
        <v>40278.120000000003</v>
      </c>
      <c r="P39" s="32"/>
    </row>
    <row r="40" spans="1:16">
      <c r="A40" s="32">
        <v>39</v>
      </c>
      <c r="B40" s="33" t="s">
        <v>784</v>
      </c>
      <c r="C40" s="34" t="s">
        <v>317</v>
      </c>
      <c r="D40" s="34" t="s">
        <v>795</v>
      </c>
      <c r="E40" s="34" t="s">
        <v>841</v>
      </c>
      <c r="F40" s="35">
        <v>44893</v>
      </c>
      <c r="G40" s="35">
        <f t="shared" si="6"/>
        <v>44893</v>
      </c>
      <c r="H40" s="34"/>
      <c r="I40" s="44" t="s">
        <v>844</v>
      </c>
      <c r="J40" s="44"/>
      <c r="K40" s="34"/>
      <c r="L40" s="34"/>
      <c r="M40" s="37"/>
      <c r="N40" s="37"/>
      <c r="O40" s="37">
        <v>181600</v>
      </c>
      <c r="P40" s="32"/>
    </row>
    <row r="41" spans="1:16">
      <c r="A41" s="32">
        <v>40</v>
      </c>
      <c r="B41" s="33" t="s">
        <v>784</v>
      </c>
      <c r="C41" s="34" t="s">
        <v>317</v>
      </c>
      <c r="D41" s="34" t="s">
        <v>795</v>
      </c>
      <c r="E41" s="34" t="s">
        <v>845</v>
      </c>
      <c r="F41" s="35">
        <v>44902</v>
      </c>
      <c r="G41" s="35">
        <f t="shared" si="6"/>
        <v>44902</v>
      </c>
      <c r="H41" s="34"/>
      <c r="I41" s="48"/>
      <c r="J41" s="48"/>
      <c r="K41" s="34"/>
      <c r="L41" s="34"/>
      <c r="M41" s="37">
        <v>101350</v>
      </c>
      <c r="N41" s="37">
        <f t="shared" ref="N41:N51" si="7">M41*18%</f>
        <v>18243</v>
      </c>
      <c r="O41" s="37">
        <f t="shared" si="1"/>
        <v>119593</v>
      </c>
      <c r="P41" s="49" t="s">
        <v>846</v>
      </c>
    </row>
    <row r="42" spans="1:16">
      <c r="A42" s="32">
        <v>41</v>
      </c>
      <c r="B42" s="33" t="s">
        <v>784</v>
      </c>
      <c r="C42" s="34" t="s">
        <v>317</v>
      </c>
      <c r="D42" s="34" t="s">
        <v>795</v>
      </c>
      <c r="E42" s="34" t="s">
        <v>845</v>
      </c>
      <c r="F42" s="35">
        <v>44902</v>
      </c>
      <c r="G42" s="35">
        <f t="shared" si="6"/>
        <v>44902</v>
      </c>
      <c r="H42" s="34"/>
      <c r="I42" s="48" t="s">
        <v>847</v>
      </c>
      <c r="J42" s="36"/>
      <c r="K42" s="34"/>
      <c r="L42" s="34"/>
      <c r="M42" s="37">
        <v>122000</v>
      </c>
      <c r="N42" s="37">
        <f t="shared" si="7"/>
        <v>21960</v>
      </c>
      <c r="O42" s="37">
        <f t="shared" si="1"/>
        <v>143960</v>
      </c>
      <c r="P42" s="49" t="s">
        <v>846</v>
      </c>
    </row>
    <row r="43" spans="1:16">
      <c r="A43" s="32">
        <v>42</v>
      </c>
      <c r="B43" s="33" t="s">
        <v>784</v>
      </c>
      <c r="C43" s="34" t="s">
        <v>317</v>
      </c>
      <c r="D43" s="34" t="s">
        <v>795</v>
      </c>
      <c r="E43" s="34" t="s">
        <v>845</v>
      </c>
      <c r="F43" s="35">
        <v>44902</v>
      </c>
      <c r="G43" s="35">
        <v>45015</v>
      </c>
      <c r="H43" s="34"/>
      <c r="I43" s="48" t="s">
        <v>848</v>
      </c>
      <c r="J43" s="36"/>
      <c r="K43" s="34"/>
      <c r="L43" s="34"/>
      <c r="M43" s="37">
        <v>14800</v>
      </c>
      <c r="N43" s="37">
        <f t="shared" si="7"/>
        <v>2664</v>
      </c>
      <c r="O43" s="37">
        <f t="shared" si="1"/>
        <v>17464</v>
      </c>
      <c r="P43" s="49" t="s">
        <v>846</v>
      </c>
    </row>
    <row r="44" spans="1:16">
      <c r="A44" s="32">
        <v>43</v>
      </c>
      <c r="B44" s="33" t="s">
        <v>784</v>
      </c>
      <c r="C44" s="34" t="s">
        <v>15</v>
      </c>
      <c r="D44" s="34" t="s">
        <v>795</v>
      </c>
      <c r="E44" s="34" t="s">
        <v>845</v>
      </c>
      <c r="F44" s="35">
        <v>44902</v>
      </c>
      <c r="G44" s="35">
        <v>45015</v>
      </c>
      <c r="H44" s="34"/>
      <c r="I44" s="48" t="s">
        <v>849</v>
      </c>
      <c r="J44" s="36"/>
      <c r="K44" s="34"/>
      <c r="L44" s="34"/>
      <c r="M44" s="37">
        <v>34134</v>
      </c>
      <c r="N44" s="37">
        <f t="shared" si="7"/>
        <v>6144.12</v>
      </c>
      <c r="O44" s="37">
        <f t="shared" si="1"/>
        <v>40278.120000000003</v>
      </c>
      <c r="P44" s="49" t="s">
        <v>846</v>
      </c>
    </row>
    <row r="45" spans="1:16">
      <c r="A45" s="32">
        <v>44</v>
      </c>
      <c r="B45" s="33" t="s">
        <v>784</v>
      </c>
      <c r="C45" s="34" t="s">
        <v>317</v>
      </c>
      <c r="D45" s="34" t="s">
        <v>795</v>
      </c>
      <c r="E45" s="34" t="s">
        <v>850</v>
      </c>
      <c r="F45" s="35">
        <v>44918</v>
      </c>
      <c r="G45" s="35">
        <f t="shared" si="6"/>
        <v>44918</v>
      </c>
      <c r="H45" s="34"/>
      <c r="I45" s="36" t="s">
        <v>851</v>
      </c>
      <c r="J45" s="48" t="s">
        <v>852</v>
      </c>
      <c r="K45" s="34"/>
      <c r="L45" s="34"/>
      <c r="M45" s="37">
        <v>182901</v>
      </c>
      <c r="N45" s="37">
        <f t="shared" si="7"/>
        <v>32922.18</v>
      </c>
      <c r="O45" s="37">
        <f t="shared" si="1"/>
        <v>215823.18</v>
      </c>
      <c r="P45" s="32"/>
    </row>
    <row r="46" spans="1:16">
      <c r="A46" s="32">
        <v>45</v>
      </c>
      <c r="B46" s="33" t="s">
        <v>784</v>
      </c>
      <c r="C46" s="34" t="s">
        <v>317</v>
      </c>
      <c r="D46" s="34" t="s">
        <v>795</v>
      </c>
      <c r="E46" s="34" t="s">
        <v>853</v>
      </c>
      <c r="F46" s="35">
        <v>44928</v>
      </c>
      <c r="G46" s="35">
        <f t="shared" si="6"/>
        <v>44928</v>
      </c>
      <c r="H46" s="34"/>
      <c r="I46" s="48" t="s">
        <v>854</v>
      </c>
      <c r="J46" s="48" t="s">
        <v>792</v>
      </c>
      <c r="K46" s="34"/>
      <c r="L46" s="34"/>
      <c r="M46" s="37">
        <v>182901</v>
      </c>
      <c r="N46" s="37">
        <f t="shared" si="7"/>
        <v>32922.18</v>
      </c>
      <c r="O46" s="37">
        <f t="shared" si="1"/>
        <v>215823.18</v>
      </c>
      <c r="P46" s="34"/>
    </row>
    <row r="47" spans="1:16">
      <c r="A47" s="32">
        <v>46</v>
      </c>
      <c r="B47" s="33" t="s">
        <v>784</v>
      </c>
      <c r="C47" s="34" t="s">
        <v>630</v>
      </c>
      <c r="D47" s="34" t="s">
        <v>795</v>
      </c>
      <c r="E47" s="34" t="s">
        <v>855</v>
      </c>
      <c r="F47" s="35">
        <v>44943</v>
      </c>
      <c r="G47" s="35">
        <v>44937</v>
      </c>
      <c r="H47" s="34"/>
      <c r="I47" s="48" t="s">
        <v>856</v>
      </c>
      <c r="J47" s="48"/>
      <c r="K47" s="34"/>
      <c r="L47" s="34"/>
      <c r="M47" s="37">
        <v>17067</v>
      </c>
      <c r="N47" s="37">
        <f t="shared" si="7"/>
        <v>3072.06</v>
      </c>
      <c r="O47" s="37">
        <f t="shared" si="1"/>
        <v>20139.060000000001</v>
      </c>
      <c r="P47" s="32"/>
    </row>
    <row r="48" spans="1:16">
      <c r="A48" s="32">
        <v>47</v>
      </c>
      <c r="B48" s="33" t="s">
        <v>784</v>
      </c>
      <c r="C48" s="34" t="s">
        <v>317</v>
      </c>
      <c r="D48" s="34" t="s">
        <v>795</v>
      </c>
      <c r="E48" s="34" t="s">
        <v>857</v>
      </c>
      <c r="F48" s="35">
        <v>45014</v>
      </c>
      <c r="G48" s="35">
        <v>45015</v>
      </c>
      <c r="H48" s="34"/>
      <c r="I48" s="48" t="s">
        <v>858</v>
      </c>
      <c r="J48" s="36" t="s">
        <v>792</v>
      </c>
      <c r="K48" s="34"/>
      <c r="L48" s="34"/>
      <c r="M48" s="37">
        <v>176430</v>
      </c>
      <c r="N48" s="37">
        <f t="shared" si="7"/>
        <v>31757.399999999998</v>
      </c>
      <c r="O48" s="37">
        <f t="shared" si="1"/>
        <v>208187.4</v>
      </c>
      <c r="P48" s="32"/>
    </row>
    <row r="49" spans="1:16">
      <c r="A49" s="32">
        <v>48</v>
      </c>
      <c r="B49" s="33" t="s">
        <v>784</v>
      </c>
      <c r="C49" s="34" t="s">
        <v>317</v>
      </c>
      <c r="D49" s="34" t="s">
        <v>795</v>
      </c>
      <c r="E49" s="34" t="s">
        <v>859</v>
      </c>
      <c r="F49" s="35">
        <v>45014</v>
      </c>
      <c r="G49" s="35">
        <v>45015</v>
      </c>
      <c r="H49" s="34"/>
      <c r="I49" s="48" t="s">
        <v>860</v>
      </c>
      <c r="J49" s="36" t="s">
        <v>792</v>
      </c>
      <c r="K49" s="34"/>
      <c r="L49" s="34"/>
      <c r="M49" s="37">
        <v>116500</v>
      </c>
      <c r="N49" s="37">
        <f t="shared" si="7"/>
        <v>20970</v>
      </c>
      <c r="O49" s="37">
        <f t="shared" si="1"/>
        <v>137470</v>
      </c>
      <c r="P49" s="34"/>
    </row>
    <row r="50" spans="1:16">
      <c r="A50" s="32">
        <v>49</v>
      </c>
      <c r="B50" s="33" t="s">
        <v>784</v>
      </c>
      <c r="C50" s="34" t="s">
        <v>317</v>
      </c>
      <c r="D50" s="34" t="s">
        <v>795</v>
      </c>
      <c r="E50" s="34" t="s">
        <v>861</v>
      </c>
      <c r="F50" s="35">
        <v>45042</v>
      </c>
      <c r="G50" s="35">
        <f t="shared" ref="G50:G52" si="8">F50</f>
        <v>45042</v>
      </c>
      <c r="H50" s="34"/>
      <c r="I50" s="48" t="s">
        <v>862</v>
      </c>
      <c r="J50" s="36" t="s">
        <v>792</v>
      </c>
      <c r="K50" s="34"/>
      <c r="L50" s="34"/>
      <c r="M50" s="37">
        <v>116500</v>
      </c>
      <c r="N50" s="37">
        <f t="shared" si="7"/>
        <v>20970</v>
      </c>
      <c r="O50" s="37">
        <f t="shared" si="1"/>
        <v>137470</v>
      </c>
      <c r="P50" s="34"/>
    </row>
    <row r="51" spans="1:16">
      <c r="A51" s="32">
        <v>50</v>
      </c>
      <c r="B51" s="33" t="s">
        <v>784</v>
      </c>
      <c r="C51" s="34" t="s">
        <v>630</v>
      </c>
      <c r="D51" s="34" t="s">
        <v>795</v>
      </c>
      <c r="E51" s="34" t="s">
        <v>863</v>
      </c>
      <c r="F51" s="35">
        <v>45042</v>
      </c>
      <c r="G51" s="35">
        <f t="shared" si="8"/>
        <v>45042</v>
      </c>
      <c r="H51" s="34"/>
      <c r="I51" s="36" t="s">
        <v>864</v>
      </c>
      <c r="J51" s="36" t="s">
        <v>792</v>
      </c>
      <c r="K51" s="34"/>
      <c r="L51" s="34"/>
      <c r="M51" s="37">
        <v>34134</v>
      </c>
      <c r="N51" s="37">
        <f t="shared" si="7"/>
        <v>6144.12</v>
      </c>
      <c r="O51" s="37">
        <f t="shared" si="1"/>
        <v>40278.120000000003</v>
      </c>
      <c r="P51" s="34"/>
    </row>
    <row r="52" spans="1:16">
      <c r="A52" s="32">
        <v>51</v>
      </c>
      <c r="B52" s="33" t="s">
        <v>784</v>
      </c>
      <c r="C52" s="34" t="s">
        <v>630</v>
      </c>
      <c r="D52" s="34" t="s">
        <v>795</v>
      </c>
      <c r="E52" s="34" t="s">
        <v>863</v>
      </c>
      <c r="F52" s="35">
        <v>45042</v>
      </c>
      <c r="G52" s="35">
        <f t="shared" si="8"/>
        <v>45042</v>
      </c>
      <c r="H52" s="34"/>
      <c r="I52" s="48" t="s">
        <v>865</v>
      </c>
      <c r="J52" s="36" t="s">
        <v>792</v>
      </c>
      <c r="K52" s="34"/>
      <c r="L52" s="34"/>
      <c r="M52" s="37"/>
      <c r="N52" s="37"/>
      <c r="O52" s="37">
        <f t="shared" si="1"/>
        <v>0</v>
      </c>
      <c r="P52" s="34"/>
    </row>
    <row r="53" spans="1:16">
      <c r="A53" s="32">
        <v>52</v>
      </c>
      <c r="B53" s="33" t="s">
        <v>784</v>
      </c>
      <c r="C53" s="34" t="s">
        <v>317</v>
      </c>
      <c r="D53" s="34" t="s">
        <v>795</v>
      </c>
      <c r="E53" s="34" t="s">
        <v>866</v>
      </c>
      <c r="F53" s="35">
        <v>45042</v>
      </c>
      <c r="G53" s="35">
        <f>F53</f>
        <v>45042</v>
      </c>
      <c r="H53" s="34"/>
      <c r="I53" s="48" t="s">
        <v>867</v>
      </c>
      <c r="J53" s="36" t="s">
        <v>792</v>
      </c>
      <c r="K53" s="34"/>
      <c r="L53" s="34"/>
      <c r="M53" s="37">
        <v>116500</v>
      </c>
      <c r="N53" s="37">
        <f>M53*18%</f>
        <v>20970</v>
      </c>
      <c r="O53" s="37">
        <f t="shared" si="1"/>
        <v>137470</v>
      </c>
      <c r="P53" s="34"/>
    </row>
    <row r="54" spans="1:16">
      <c r="A54" s="32">
        <v>53</v>
      </c>
      <c r="B54" s="33" t="s">
        <v>784</v>
      </c>
      <c r="C54" s="34" t="s">
        <v>317</v>
      </c>
      <c r="D54" s="34" t="s">
        <v>795</v>
      </c>
      <c r="E54" s="34" t="s">
        <v>868</v>
      </c>
      <c r="F54" s="35">
        <v>45066</v>
      </c>
      <c r="G54" s="35">
        <f t="shared" ref="G54:G57" si="9">F54</f>
        <v>45066</v>
      </c>
      <c r="H54" s="34"/>
      <c r="I54" s="48" t="s">
        <v>869</v>
      </c>
      <c r="J54" s="36" t="s">
        <v>792</v>
      </c>
      <c r="K54" s="34"/>
      <c r="L54" s="34"/>
      <c r="M54" s="37">
        <v>155000</v>
      </c>
      <c r="N54" s="37">
        <f>M54*18%</f>
        <v>27900</v>
      </c>
      <c r="O54" s="37">
        <f t="shared" si="1"/>
        <v>182900</v>
      </c>
      <c r="P54" s="34"/>
    </row>
    <row r="55" spans="1:16">
      <c r="A55" s="32">
        <v>54</v>
      </c>
      <c r="B55" s="33" t="s">
        <v>784</v>
      </c>
      <c r="C55" s="34" t="s">
        <v>317</v>
      </c>
      <c r="D55" s="34" t="s">
        <v>795</v>
      </c>
      <c r="E55" s="34" t="s">
        <v>870</v>
      </c>
      <c r="F55" s="35">
        <v>45073</v>
      </c>
      <c r="G55" s="35">
        <f t="shared" si="9"/>
        <v>45073</v>
      </c>
      <c r="H55" s="34"/>
      <c r="I55" s="48" t="s">
        <v>871</v>
      </c>
      <c r="J55" s="36" t="s">
        <v>792</v>
      </c>
      <c r="K55" s="34"/>
      <c r="L55" s="34"/>
      <c r="M55" s="37">
        <v>190524</v>
      </c>
      <c r="N55" s="37">
        <f>M55*18%</f>
        <v>34294.32</v>
      </c>
      <c r="O55" s="37">
        <f t="shared" si="1"/>
        <v>224818.32</v>
      </c>
      <c r="P55" s="34"/>
    </row>
    <row r="56" spans="1:16">
      <c r="A56" s="32">
        <v>55</v>
      </c>
      <c r="B56" s="33" t="s">
        <v>784</v>
      </c>
      <c r="C56" s="34" t="s">
        <v>15</v>
      </c>
      <c r="D56" s="34" t="s">
        <v>795</v>
      </c>
      <c r="E56" s="34" t="s">
        <v>870</v>
      </c>
      <c r="F56" s="35">
        <v>45073</v>
      </c>
      <c r="G56" s="35">
        <f t="shared" si="9"/>
        <v>45073</v>
      </c>
      <c r="H56" s="34"/>
      <c r="I56" s="48" t="s">
        <v>872</v>
      </c>
      <c r="J56" s="48"/>
      <c r="K56" s="34"/>
      <c r="L56" s="34"/>
      <c r="M56" s="37">
        <v>34134</v>
      </c>
      <c r="N56" s="37">
        <f>M56*18%</f>
        <v>6144.12</v>
      </c>
      <c r="O56" s="37">
        <f t="shared" si="1"/>
        <v>40278.120000000003</v>
      </c>
      <c r="P56" s="34"/>
    </row>
    <row r="57" spans="1:16">
      <c r="A57" s="32">
        <v>56</v>
      </c>
      <c r="B57" s="33" t="s">
        <v>784</v>
      </c>
      <c r="C57" s="34" t="s">
        <v>15</v>
      </c>
      <c r="D57" s="34" t="s">
        <v>795</v>
      </c>
      <c r="E57" s="34" t="s">
        <v>870</v>
      </c>
      <c r="F57" s="35">
        <v>45073</v>
      </c>
      <c r="G57" s="35">
        <f t="shared" si="9"/>
        <v>45073</v>
      </c>
      <c r="H57" s="34"/>
      <c r="I57" s="48" t="s">
        <v>873</v>
      </c>
      <c r="J57" s="48"/>
      <c r="K57" s="34"/>
      <c r="L57" s="34"/>
      <c r="M57" s="37"/>
      <c r="N57" s="37"/>
      <c r="O57" s="37">
        <f t="shared" si="1"/>
        <v>0</v>
      </c>
      <c r="P57" s="34"/>
    </row>
    <row r="58" spans="1:16">
      <c r="A58" s="32">
        <v>57</v>
      </c>
      <c r="B58" s="33" t="s">
        <v>784</v>
      </c>
      <c r="C58" s="34" t="s">
        <v>15</v>
      </c>
      <c r="D58" s="34" t="s">
        <v>795</v>
      </c>
      <c r="E58" s="34" t="s">
        <v>874</v>
      </c>
      <c r="F58" s="35">
        <v>45100</v>
      </c>
      <c r="G58" s="35">
        <f>F58</f>
        <v>45100</v>
      </c>
      <c r="H58" s="34"/>
      <c r="I58" s="44" t="s">
        <v>875</v>
      </c>
      <c r="J58" s="48" t="s">
        <v>792</v>
      </c>
      <c r="K58" s="34"/>
      <c r="L58" s="34"/>
      <c r="M58" s="37">
        <v>34134</v>
      </c>
      <c r="N58" s="37">
        <f>M58*18%</f>
        <v>6144.12</v>
      </c>
      <c r="O58" s="37">
        <f t="shared" si="1"/>
        <v>40278.120000000003</v>
      </c>
      <c r="P58" s="34"/>
    </row>
    <row r="59" spans="1:16">
      <c r="A59" s="32">
        <v>58</v>
      </c>
      <c r="B59" s="33" t="s">
        <v>784</v>
      </c>
      <c r="C59" s="34" t="s">
        <v>15</v>
      </c>
      <c r="D59" s="34" t="s">
        <v>795</v>
      </c>
      <c r="E59" s="34" t="s">
        <v>874</v>
      </c>
      <c r="F59" s="35">
        <v>45100</v>
      </c>
      <c r="G59" s="35">
        <f>F59</f>
        <v>45100</v>
      </c>
      <c r="H59" s="34"/>
      <c r="I59" s="48" t="s">
        <v>876</v>
      </c>
      <c r="J59" s="48" t="s">
        <v>792</v>
      </c>
      <c r="K59" s="34"/>
      <c r="L59" s="34"/>
      <c r="M59" s="37"/>
      <c r="N59" s="37"/>
      <c r="O59" s="37">
        <f t="shared" si="1"/>
        <v>0</v>
      </c>
      <c r="P59" s="34"/>
    </row>
    <row r="60" spans="1:16">
      <c r="A60" s="32">
        <v>59</v>
      </c>
      <c r="B60" s="33" t="s">
        <v>784</v>
      </c>
      <c r="C60" s="34" t="s">
        <v>317</v>
      </c>
      <c r="D60" s="34" t="s">
        <v>795</v>
      </c>
      <c r="E60" s="34" t="s">
        <v>877</v>
      </c>
      <c r="F60" s="35">
        <v>45107</v>
      </c>
      <c r="G60" s="35">
        <f>F60</f>
        <v>45107</v>
      </c>
      <c r="H60" s="34"/>
      <c r="I60" s="48" t="s">
        <v>321</v>
      </c>
      <c r="J60" s="48" t="s">
        <v>792</v>
      </c>
      <c r="K60" s="34"/>
      <c r="L60" s="34"/>
      <c r="M60" s="37">
        <v>105500</v>
      </c>
      <c r="N60" s="37">
        <f t="shared" ref="N60:N123" si="10">M60*18%</f>
        <v>18990</v>
      </c>
      <c r="O60" s="37">
        <f t="shared" si="1"/>
        <v>124490</v>
      </c>
      <c r="P60" s="34"/>
    </row>
    <row r="61" spans="1:16">
      <c r="A61" s="32">
        <v>60</v>
      </c>
      <c r="B61" s="33" t="s">
        <v>784</v>
      </c>
      <c r="C61" s="34" t="s">
        <v>317</v>
      </c>
      <c r="D61" s="34" t="s">
        <v>795</v>
      </c>
      <c r="E61" s="34" t="s">
        <v>878</v>
      </c>
      <c r="F61" s="35">
        <v>45118</v>
      </c>
      <c r="G61" s="35">
        <v>45119</v>
      </c>
      <c r="H61" s="34"/>
      <c r="I61" s="48" t="s">
        <v>879</v>
      </c>
      <c r="J61" s="48" t="s">
        <v>792</v>
      </c>
      <c r="K61" s="34"/>
      <c r="L61" s="34"/>
      <c r="M61" s="37">
        <v>190524</v>
      </c>
      <c r="N61" s="37">
        <f t="shared" si="10"/>
        <v>34294.32</v>
      </c>
      <c r="O61" s="37">
        <f t="shared" si="1"/>
        <v>224818.32</v>
      </c>
      <c r="P61" s="32"/>
    </row>
    <row r="62" spans="1:16">
      <c r="A62" s="32">
        <v>61</v>
      </c>
      <c r="B62" s="33" t="s">
        <v>784</v>
      </c>
      <c r="C62" s="34" t="s">
        <v>630</v>
      </c>
      <c r="D62" s="34" t="s">
        <v>795</v>
      </c>
      <c r="E62" s="34" t="s">
        <v>878</v>
      </c>
      <c r="F62" s="35">
        <v>45118</v>
      </c>
      <c r="G62" s="35">
        <v>45119</v>
      </c>
      <c r="H62" s="34"/>
      <c r="I62" s="48" t="s">
        <v>880</v>
      </c>
      <c r="J62" s="48" t="s">
        <v>792</v>
      </c>
      <c r="K62" s="34"/>
      <c r="L62" s="34"/>
      <c r="M62" s="37">
        <v>17067</v>
      </c>
      <c r="N62" s="37">
        <f t="shared" si="10"/>
        <v>3072.06</v>
      </c>
      <c r="O62" s="37">
        <f t="shared" si="1"/>
        <v>20139.060000000001</v>
      </c>
      <c r="P62" s="32"/>
    </row>
    <row r="63" spans="1:16">
      <c r="A63" s="32">
        <v>62</v>
      </c>
      <c r="B63" s="33" t="s">
        <v>784</v>
      </c>
      <c r="C63" s="34" t="s">
        <v>317</v>
      </c>
      <c r="D63" s="34" t="s">
        <v>795</v>
      </c>
      <c r="E63" s="34" t="s">
        <v>881</v>
      </c>
      <c r="F63" s="35">
        <v>45134</v>
      </c>
      <c r="G63" s="35">
        <f>F63</f>
        <v>45134</v>
      </c>
      <c r="H63" s="34"/>
      <c r="I63" s="48" t="s">
        <v>882</v>
      </c>
      <c r="J63" s="48"/>
      <c r="K63" s="34"/>
      <c r="L63" s="34"/>
      <c r="M63" s="37">
        <v>190524</v>
      </c>
      <c r="N63" s="37">
        <f t="shared" si="10"/>
        <v>34294.32</v>
      </c>
      <c r="O63" s="37">
        <f t="shared" si="1"/>
        <v>224818.32</v>
      </c>
      <c r="P63" s="34"/>
    </row>
    <row r="64" spans="1:16">
      <c r="A64" s="32">
        <v>63</v>
      </c>
      <c r="B64" s="33" t="s">
        <v>784</v>
      </c>
      <c r="C64" s="34" t="s">
        <v>630</v>
      </c>
      <c r="D64" s="34" t="s">
        <v>795</v>
      </c>
      <c r="E64" s="34" t="s">
        <v>883</v>
      </c>
      <c r="F64" s="35">
        <v>45134</v>
      </c>
      <c r="G64" s="35">
        <f>F64</f>
        <v>45134</v>
      </c>
      <c r="H64" s="34"/>
      <c r="I64" s="48" t="s">
        <v>884</v>
      </c>
      <c r="J64" s="48" t="s">
        <v>792</v>
      </c>
      <c r="K64" s="34"/>
      <c r="L64" s="34"/>
      <c r="M64" s="37">
        <v>17067</v>
      </c>
      <c r="N64" s="37">
        <f t="shared" si="10"/>
        <v>3072.06</v>
      </c>
      <c r="O64" s="37">
        <f t="shared" si="1"/>
        <v>20139.060000000001</v>
      </c>
      <c r="P64" s="34"/>
    </row>
    <row r="65" spans="1:16">
      <c r="A65" s="32">
        <v>64</v>
      </c>
      <c r="B65" s="33" t="s">
        <v>784</v>
      </c>
      <c r="C65" s="34" t="s">
        <v>630</v>
      </c>
      <c r="D65" s="34" t="s">
        <v>795</v>
      </c>
      <c r="E65" s="34" t="s">
        <v>885</v>
      </c>
      <c r="F65" s="35">
        <v>45168</v>
      </c>
      <c r="G65" s="35">
        <f t="shared" ref="G65:G66" si="11">F65</f>
        <v>45168</v>
      </c>
      <c r="H65" s="34"/>
      <c r="I65" s="48" t="s">
        <v>886</v>
      </c>
      <c r="J65" s="48" t="s">
        <v>792</v>
      </c>
      <c r="K65" s="34"/>
      <c r="L65" s="34"/>
      <c r="M65" s="37">
        <v>17067</v>
      </c>
      <c r="N65" s="37">
        <f t="shared" si="10"/>
        <v>3072.06</v>
      </c>
      <c r="O65" s="37">
        <f t="shared" si="1"/>
        <v>20139.060000000001</v>
      </c>
      <c r="P65" s="34"/>
    </row>
    <row r="66" spans="1:16">
      <c r="A66" s="32">
        <v>65</v>
      </c>
      <c r="B66" s="33" t="s">
        <v>784</v>
      </c>
      <c r="C66" s="34" t="s">
        <v>630</v>
      </c>
      <c r="D66" s="34" t="s">
        <v>795</v>
      </c>
      <c r="E66" s="34" t="s">
        <v>887</v>
      </c>
      <c r="F66" s="35">
        <v>45168</v>
      </c>
      <c r="G66" s="35">
        <f t="shared" si="11"/>
        <v>45168</v>
      </c>
      <c r="H66" s="34"/>
      <c r="I66" s="36" t="s">
        <v>888</v>
      </c>
      <c r="J66" s="48"/>
      <c r="K66" s="34"/>
      <c r="L66" s="34"/>
      <c r="M66" s="37">
        <v>17067</v>
      </c>
      <c r="N66" s="37">
        <f t="shared" si="10"/>
        <v>3072.06</v>
      </c>
      <c r="O66" s="37">
        <f t="shared" si="1"/>
        <v>20139.060000000001</v>
      </c>
      <c r="P66" s="34"/>
    </row>
    <row r="67" spans="1:16">
      <c r="A67" s="32">
        <v>66</v>
      </c>
      <c r="B67" s="33" t="s">
        <v>784</v>
      </c>
      <c r="C67" s="34" t="s">
        <v>317</v>
      </c>
      <c r="D67" s="34" t="s">
        <v>795</v>
      </c>
      <c r="E67" s="34" t="s">
        <v>889</v>
      </c>
      <c r="F67" s="35">
        <v>45168</v>
      </c>
      <c r="G67" s="35">
        <v>45170</v>
      </c>
      <c r="H67" s="34"/>
      <c r="I67" s="48" t="s">
        <v>488</v>
      </c>
      <c r="J67" s="48" t="s">
        <v>852</v>
      </c>
      <c r="K67" s="34"/>
      <c r="L67" s="34"/>
      <c r="M67" s="37">
        <v>105500</v>
      </c>
      <c r="N67" s="37">
        <f t="shared" si="10"/>
        <v>18990</v>
      </c>
      <c r="O67" s="37">
        <f t="shared" ref="O67:O130" si="12">SUM(M67:N67)</f>
        <v>124490</v>
      </c>
      <c r="P67" s="50"/>
    </row>
    <row r="68" spans="1:16">
      <c r="A68" s="32">
        <v>67</v>
      </c>
      <c r="B68" s="33" t="s">
        <v>784</v>
      </c>
      <c r="C68" s="34" t="s">
        <v>630</v>
      </c>
      <c r="D68" s="34" t="s">
        <v>795</v>
      </c>
      <c r="E68" s="34" t="s">
        <v>889</v>
      </c>
      <c r="F68" s="35">
        <v>45168</v>
      </c>
      <c r="G68" s="35">
        <v>45170</v>
      </c>
      <c r="H68" s="34"/>
      <c r="I68" s="48" t="s">
        <v>519</v>
      </c>
      <c r="J68" s="48" t="s">
        <v>852</v>
      </c>
      <c r="K68" s="34"/>
      <c r="L68" s="34"/>
      <c r="M68" s="37">
        <v>17067</v>
      </c>
      <c r="N68" s="37">
        <f t="shared" si="10"/>
        <v>3072.06</v>
      </c>
      <c r="O68" s="37">
        <f t="shared" si="12"/>
        <v>20139.060000000001</v>
      </c>
      <c r="P68" s="34"/>
    </row>
    <row r="69" spans="1:16">
      <c r="A69" s="32">
        <v>68</v>
      </c>
      <c r="B69" s="33" t="s">
        <v>784</v>
      </c>
      <c r="C69" s="34" t="s">
        <v>317</v>
      </c>
      <c r="D69" s="34" t="s">
        <v>795</v>
      </c>
      <c r="E69" s="34" t="s">
        <v>890</v>
      </c>
      <c r="F69" s="35">
        <v>45210</v>
      </c>
      <c r="G69" s="35">
        <f>F69</f>
        <v>45210</v>
      </c>
      <c r="H69" s="34"/>
      <c r="I69" s="48" t="s">
        <v>891</v>
      </c>
      <c r="J69" s="48" t="s">
        <v>852</v>
      </c>
      <c r="K69" s="34"/>
      <c r="L69" s="34"/>
      <c r="M69" s="37">
        <v>190524</v>
      </c>
      <c r="N69" s="37">
        <f t="shared" si="10"/>
        <v>34294.32</v>
      </c>
      <c r="O69" s="37">
        <f t="shared" si="12"/>
        <v>224818.32</v>
      </c>
      <c r="P69" s="34"/>
    </row>
    <row r="70" spans="1:16">
      <c r="A70" s="32">
        <v>69</v>
      </c>
      <c r="B70" s="33" t="s">
        <v>784</v>
      </c>
      <c r="C70" s="34" t="s">
        <v>317</v>
      </c>
      <c r="D70" s="34" t="s">
        <v>795</v>
      </c>
      <c r="E70" s="34" t="s">
        <v>892</v>
      </c>
      <c r="F70" s="35">
        <v>45245</v>
      </c>
      <c r="G70" s="35">
        <f t="shared" ref="G70:G73" si="13">F70</f>
        <v>45245</v>
      </c>
      <c r="H70" s="34"/>
      <c r="I70" s="48" t="s">
        <v>893</v>
      </c>
      <c r="J70" s="48"/>
      <c r="K70" s="34"/>
      <c r="L70" s="34"/>
      <c r="M70" s="37">
        <v>190524</v>
      </c>
      <c r="N70" s="37">
        <f t="shared" si="10"/>
        <v>34294.32</v>
      </c>
      <c r="O70" s="37">
        <f t="shared" si="12"/>
        <v>224818.32</v>
      </c>
      <c r="P70" s="34"/>
    </row>
    <row r="71" spans="1:16">
      <c r="A71" s="32">
        <v>70</v>
      </c>
      <c r="B71" s="33" t="s">
        <v>784</v>
      </c>
      <c r="C71" s="34" t="s">
        <v>317</v>
      </c>
      <c r="D71" s="34" t="s">
        <v>795</v>
      </c>
      <c r="E71" s="34" t="s">
        <v>894</v>
      </c>
      <c r="F71" s="35">
        <v>45245</v>
      </c>
      <c r="G71" s="35">
        <f t="shared" si="13"/>
        <v>45245</v>
      </c>
      <c r="H71" s="34"/>
      <c r="I71" s="48" t="s">
        <v>895</v>
      </c>
      <c r="J71" s="48"/>
      <c r="K71" s="34"/>
      <c r="L71" s="34"/>
      <c r="M71" s="37">
        <v>88000</v>
      </c>
      <c r="N71" s="37">
        <f t="shared" si="10"/>
        <v>15840</v>
      </c>
      <c r="O71" s="37">
        <f t="shared" si="12"/>
        <v>103840</v>
      </c>
      <c r="P71" s="34"/>
    </row>
    <row r="72" spans="1:16">
      <c r="A72" s="32">
        <v>71</v>
      </c>
      <c r="B72" s="33" t="s">
        <v>784</v>
      </c>
      <c r="C72" s="34" t="s">
        <v>630</v>
      </c>
      <c r="D72" s="34" t="s">
        <v>795</v>
      </c>
      <c r="E72" s="34" t="s">
        <v>894</v>
      </c>
      <c r="F72" s="35">
        <v>45245</v>
      </c>
      <c r="G72" s="35">
        <f t="shared" si="13"/>
        <v>45245</v>
      </c>
      <c r="H72" s="34"/>
      <c r="I72" s="48" t="s">
        <v>896</v>
      </c>
      <c r="J72" s="48"/>
      <c r="K72" s="34"/>
      <c r="L72" s="34"/>
      <c r="M72" s="37">
        <v>17067</v>
      </c>
      <c r="N72" s="37">
        <f t="shared" si="10"/>
        <v>3072.06</v>
      </c>
      <c r="O72" s="37">
        <f t="shared" si="12"/>
        <v>20139.060000000001</v>
      </c>
      <c r="P72" s="34"/>
    </row>
    <row r="73" spans="1:16">
      <c r="A73" s="32">
        <v>72</v>
      </c>
      <c r="B73" s="33" t="s">
        <v>784</v>
      </c>
      <c r="C73" s="34" t="s">
        <v>317</v>
      </c>
      <c r="D73" s="34" t="s">
        <v>897</v>
      </c>
      <c r="E73" s="34" t="s">
        <v>898</v>
      </c>
      <c r="F73" s="35">
        <v>45292</v>
      </c>
      <c r="G73" s="35">
        <f t="shared" si="13"/>
        <v>45292</v>
      </c>
      <c r="H73" s="34"/>
      <c r="I73" s="36" t="s">
        <v>899</v>
      </c>
      <c r="J73" s="48" t="s">
        <v>792</v>
      </c>
      <c r="K73" s="34"/>
      <c r="L73" s="34"/>
      <c r="M73" s="37">
        <v>90556.78</v>
      </c>
      <c r="N73" s="37">
        <f t="shared" si="10"/>
        <v>16300.220399999998</v>
      </c>
      <c r="O73" s="37">
        <f t="shared" si="12"/>
        <v>106857.00039999999</v>
      </c>
      <c r="P73" s="34"/>
    </row>
    <row r="74" spans="1:16">
      <c r="A74" s="32">
        <v>73</v>
      </c>
      <c r="B74" s="33" t="s">
        <v>784</v>
      </c>
      <c r="C74" s="34" t="s">
        <v>630</v>
      </c>
      <c r="D74" s="34" t="s">
        <v>795</v>
      </c>
      <c r="E74" s="34" t="s">
        <v>900</v>
      </c>
      <c r="F74" s="35">
        <v>45323</v>
      </c>
      <c r="G74" s="35">
        <v>45274</v>
      </c>
      <c r="H74" s="34"/>
      <c r="I74" s="48" t="s">
        <v>901</v>
      </c>
      <c r="J74" s="48" t="s">
        <v>792</v>
      </c>
      <c r="K74" s="34"/>
      <c r="L74" s="34"/>
      <c r="M74" s="37">
        <v>17067</v>
      </c>
      <c r="N74" s="37">
        <f t="shared" si="10"/>
        <v>3072.06</v>
      </c>
      <c r="O74" s="37">
        <f t="shared" si="12"/>
        <v>20139.060000000001</v>
      </c>
      <c r="P74" s="34"/>
    </row>
    <row r="75" spans="1:16">
      <c r="A75" s="32">
        <v>74</v>
      </c>
      <c r="B75" s="33" t="s">
        <v>784</v>
      </c>
      <c r="C75" s="34" t="s">
        <v>630</v>
      </c>
      <c r="D75" s="34" t="s">
        <v>795</v>
      </c>
      <c r="E75" s="34" t="s">
        <v>902</v>
      </c>
      <c r="F75" s="35">
        <v>45323</v>
      </c>
      <c r="G75" s="35">
        <v>45274</v>
      </c>
      <c r="H75" s="34"/>
      <c r="I75" s="48" t="s">
        <v>903</v>
      </c>
      <c r="J75" s="48" t="s">
        <v>792</v>
      </c>
      <c r="K75" s="34"/>
      <c r="L75" s="34"/>
      <c r="M75" s="37">
        <v>17067</v>
      </c>
      <c r="N75" s="37">
        <f t="shared" si="10"/>
        <v>3072.06</v>
      </c>
      <c r="O75" s="37">
        <f t="shared" si="12"/>
        <v>20139.060000000001</v>
      </c>
      <c r="P75" s="34"/>
    </row>
    <row r="76" spans="1:16">
      <c r="A76" s="32">
        <v>75</v>
      </c>
      <c r="B76" s="33" t="s">
        <v>784</v>
      </c>
      <c r="C76" s="34" t="s">
        <v>317</v>
      </c>
      <c r="D76" s="34" t="s">
        <v>795</v>
      </c>
      <c r="E76" s="34" t="s">
        <v>904</v>
      </c>
      <c r="F76" s="35">
        <v>45330</v>
      </c>
      <c r="G76" s="35">
        <f>F76</f>
        <v>45330</v>
      </c>
      <c r="H76" s="34"/>
      <c r="I76" s="36" t="s">
        <v>905</v>
      </c>
      <c r="J76" s="48" t="s">
        <v>792</v>
      </c>
      <c r="K76" s="34"/>
      <c r="L76" s="34"/>
      <c r="M76" s="37">
        <v>80000</v>
      </c>
      <c r="N76" s="37">
        <f t="shared" si="10"/>
        <v>14400</v>
      </c>
      <c r="O76" s="37">
        <f t="shared" si="12"/>
        <v>94400</v>
      </c>
      <c r="P76" s="34"/>
    </row>
    <row r="77" spans="1:16">
      <c r="A77" s="32">
        <v>76</v>
      </c>
      <c r="B77" s="33" t="s">
        <v>784</v>
      </c>
      <c r="C77" s="34" t="s">
        <v>317</v>
      </c>
      <c r="D77" s="34" t="s">
        <v>795</v>
      </c>
      <c r="E77" s="34" t="s">
        <v>906</v>
      </c>
      <c r="F77" s="35">
        <v>45330</v>
      </c>
      <c r="G77" s="35">
        <f t="shared" ref="G77:G81" si="14">F77</f>
        <v>45330</v>
      </c>
      <c r="H77" s="34"/>
      <c r="I77" s="36" t="s">
        <v>907</v>
      </c>
      <c r="J77" s="48" t="s">
        <v>792</v>
      </c>
      <c r="K77" s="34"/>
      <c r="L77" s="34"/>
      <c r="M77" s="37">
        <v>80000</v>
      </c>
      <c r="N77" s="37">
        <f t="shared" si="10"/>
        <v>14400</v>
      </c>
      <c r="O77" s="37">
        <f t="shared" si="12"/>
        <v>94400</v>
      </c>
      <c r="P77" s="34"/>
    </row>
    <row r="78" spans="1:16">
      <c r="A78" s="32">
        <v>77</v>
      </c>
      <c r="B78" s="33" t="s">
        <v>784</v>
      </c>
      <c r="C78" s="34" t="s">
        <v>317</v>
      </c>
      <c r="D78" s="34" t="s">
        <v>795</v>
      </c>
      <c r="E78" s="34" t="s">
        <v>908</v>
      </c>
      <c r="F78" s="35">
        <v>45330</v>
      </c>
      <c r="G78" s="35">
        <f t="shared" si="14"/>
        <v>45330</v>
      </c>
      <c r="H78" s="34"/>
      <c r="I78" s="48" t="s">
        <v>339</v>
      </c>
      <c r="J78" s="48" t="s">
        <v>792</v>
      </c>
      <c r="K78" s="34"/>
      <c r="L78" s="34"/>
      <c r="M78" s="37">
        <v>80000</v>
      </c>
      <c r="N78" s="37">
        <f t="shared" si="10"/>
        <v>14400</v>
      </c>
      <c r="O78" s="37">
        <f t="shared" si="12"/>
        <v>94400</v>
      </c>
      <c r="P78" s="34"/>
    </row>
    <row r="79" spans="1:16">
      <c r="A79" s="32">
        <v>78</v>
      </c>
      <c r="B79" s="33" t="s">
        <v>784</v>
      </c>
      <c r="C79" s="34" t="s">
        <v>317</v>
      </c>
      <c r="D79" s="34" t="s">
        <v>795</v>
      </c>
      <c r="E79" s="34" t="s">
        <v>909</v>
      </c>
      <c r="F79" s="35">
        <v>45330</v>
      </c>
      <c r="G79" s="35">
        <f t="shared" si="14"/>
        <v>45330</v>
      </c>
      <c r="H79" s="34"/>
      <c r="I79" s="36" t="s">
        <v>910</v>
      </c>
      <c r="J79" s="36" t="s">
        <v>792</v>
      </c>
      <c r="K79" s="34"/>
      <c r="L79" s="34"/>
      <c r="M79" s="37">
        <v>80000</v>
      </c>
      <c r="N79" s="37">
        <f t="shared" si="10"/>
        <v>14400</v>
      </c>
      <c r="O79" s="37">
        <f t="shared" si="12"/>
        <v>94400</v>
      </c>
      <c r="P79" s="34"/>
    </row>
    <row r="80" spans="1:16">
      <c r="A80" s="32">
        <v>79</v>
      </c>
      <c r="B80" s="33" t="s">
        <v>784</v>
      </c>
      <c r="C80" s="34" t="s">
        <v>317</v>
      </c>
      <c r="D80" s="34" t="s">
        <v>795</v>
      </c>
      <c r="E80" s="34" t="s">
        <v>911</v>
      </c>
      <c r="F80" s="35">
        <v>45330</v>
      </c>
      <c r="G80" s="35">
        <f t="shared" si="14"/>
        <v>45330</v>
      </c>
      <c r="H80" s="34"/>
      <c r="I80" s="48" t="s">
        <v>627</v>
      </c>
      <c r="J80" s="36" t="s">
        <v>792</v>
      </c>
      <c r="K80" s="34"/>
      <c r="L80" s="34"/>
      <c r="M80" s="37">
        <v>80000</v>
      </c>
      <c r="N80" s="37">
        <f t="shared" si="10"/>
        <v>14400</v>
      </c>
      <c r="O80" s="37">
        <f t="shared" si="12"/>
        <v>94400</v>
      </c>
      <c r="P80" s="34"/>
    </row>
    <row r="81" spans="1:16">
      <c r="A81" s="32">
        <v>80</v>
      </c>
      <c r="B81" s="33" t="s">
        <v>784</v>
      </c>
      <c r="C81" s="34" t="s">
        <v>317</v>
      </c>
      <c r="D81" s="34" t="s">
        <v>795</v>
      </c>
      <c r="E81" s="34" t="s">
        <v>912</v>
      </c>
      <c r="F81" s="35">
        <v>45352</v>
      </c>
      <c r="G81" s="35">
        <f t="shared" si="14"/>
        <v>45352</v>
      </c>
      <c r="H81" s="34"/>
      <c r="I81" s="48" t="s">
        <v>913</v>
      </c>
      <c r="J81" s="48"/>
      <c r="K81" s="34"/>
      <c r="L81" s="34"/>
      <c r="M81" s="37">
        <v>190524</v>
      </c>
      <c r="N81" s="37">
        <f t="shared" si="10"/>
        <v>34294.32</v>
      </c>
      <c r="O81" s="37">
        <f t="shared" si="12"/>
        <v>224818.32</v>
      </c>
      <c r="P81" s="34"/>
    </row>
    <row r="82" spans="1:16">
      <c r="A82" s="32">
        <v>81</v>
      </c>
      <c r="B82" s="33" t="s">
        <v>784</v>
      </c>
      <c r="C82" s="34" t="s">
        <v>317</v>
      </c>
      <c r="D82" s="34" t="s">
        <v>795</v>
      </c>
      <c r="E82" s="34" t="s">
        <v>914</v>
      </c>
      <c r="F82" s="35">
        <v>45352</v>
      </c>
      <c r="G82" s="35">
        <v>45310</v>
      </c>
      <c r="H82" s="34"/>
      <c r="I82" s="48" t="s">
        <v>915</v>
      </c>
      <c r="J82" s="36"/>
      <c r="K82" s="34"/>
      <c r="L82" s="34"/>
      <c r="M82" s="37">
        <v>80000</v>
      </c>
      <c r="N82" s="37">
        <f t="shared" si="10"/>
        <v>14400</v>
      </c>
      <c r="O82" s="37">
        <f t="shared" si="12"/>
        <v>94400</v>
      </c>
      <c r="P82" s="34"/>
    </row>
    <row r="83" spans="1:16">
      <c r="A83" s="32">
        <v>82</v>
      </c>
      <c r="B83" s="33" t="s">
        <v>784</v>
      </c>
      <c r="C83" s="34" t="s">
        <v>317</v>
      </c>
      <c r="D83" s="34" t="s">
        <v>795</v>
      </c>
      <c r="E83" s="34" t="s">
        <v>916</v>
      </c>
      <c r="F83" s="35">
        <v>45352</v>
      </c>
      <c r="G83" s="35">
        <v>45304</v>
      </c>
      <c r="H83" s="34"/>
      <c r="I83" s="36" t="s">
        <v>917</v>
      </c>
      <c r="J83" s="48"/>
      <c r="K83" s="34"/>
      <c r="L83" s="34"/>
      <c r="M83" s="37">
        <v>190524</v>
      </c>
      <c r="N83" s="37">
        <f t="shared" si="10"/>
        <v>34294.32</v>
      </c>
      <c r="O83" s="37">
        <f t="shared" si="12"/>
        <v>224818.32</v>
      </c>
      <c r="P83" s="34"/>
    </row>
    <row r="84" spans="1:16">
      <c r="A84" s="32">
        <v>83</v>
      </c>
      <c r="B84" s="33" t="s">
        <v>784</v>
      </c>
      <c r="C84" s="34" t="s">
        <v>630</v>
      </c>
      <c r="D84" s="34" t="s">
        <v>795</v>
      </c>
      <c r="E84" s="34" t="s">
        <v>916</v>
      </c>
      <c r="F84" s="35">
        <v>45352</v>
      </c>
      <c r="G84" s="35">
        <v>45304</v>
      </c>
      <c r="H84" s="34"/>
      <c r="I84" s="48" t="s">
        <v>918</v>
      </c>
      <c r="J84" s="48" t="s">
        <v>792</v>
      </c>
      <c r="K84" s="34"/>
      <c r="L84" s="34"/>
      <c r="M84" s="37">
        <v>17067</v>
      </c>
      <c r="N84" s="37">
        <f t="shared" si="10"/>
        <v>3072.06</v>
      </c>
      <c r="O84" s="37">
        <f t="shared" si="12"/>
        <v>20139.060000000001</v>
      </c>
      <c r="P84" s="34"/>
    </row>
    <row r="85" spans="1:16">
      <c r="A85" s="32">
        <v>84</v>
      </c>
      <c r="B85" s="33" t="s">
        <v>784</v>
      </c>
      <c r="C85" s="34" t="s">
        <v>630</v>
      </c>
      <c r="D85" s="34" t="s">
        <v>795</v>
      </c>
      <c r="E85" s="34" t="s">
        <v>919</v>
      </c>
      <c r="F85" s="35">
        <v>45356</v>
      </c>
      <c r="G85" s="35">
        <f>F85</f>
        <v>45356</v>
      </c>
      <c r="H85" s="34"/>
      <c r="I85" s="48" t="s">
        <v>920</v>
      </c>
      <c r="J85" s="48" t="s">
        <v>792</v>
      </c>
      <c r="K85" s="34"/>
      <c r="L85" s="34"/>
      <c r="M85" s="37">
        <v>17067</v>
      </c>
      <c r="N85" s="37">
        <f t="shared" si="10"/>
        <v>3072.06</v>
      </c>
      <c r="O85" s="37">
        <f t="shared" si="12"/>
        <v>20139.060000000001</v>
      </c>
      <c r="P85" s="34"/>
    </row>
    <row r="86" spans="1:16">
      <c r="A86" s="32">
        <v>85</v>
      </c>
      <c r="B86" s="33" t="s">
        <v>784</v>
      </c>
      <c r="C86" s="34" t="s">
        <v>317</v>
      </c>
      <c r="D86" s="34" t="s">
        <v>795</v>
      </c>
      <c r="E86" s="34" t="s">
        <v>921</v>
      </c>
      <c r="F86" s="35">
        <v>45362</v>
      </c>
      <c r="G86" s="35">
        <f t="shared" ref="G86:G99" si="15">F86</f>
        <v>45362</v>
      </c>
      <c r="H86" s="34"/>
      <c r="I86" s="36" t="s">
        <v>922</v>
      </c>
      <c r="J86" s="36" t="s">
        <v>792</v>
      </c>
      <c r="K86" s="34"/>
      <c r="L86" s="34"/>
      <c r="M86" s="37">
        <v>190524</v>
      </c>
      <c r="N86" s="37">
        <f t="shared" si="10"/>
        <v>34294.32</v>
      </c>
      <c r="O86" s="37">
        <f t="shared" si="12"/>
        <v>224818.32</v>
      </c>
      <c r="P86" s="34"/>
    </row>
    <row r="87" spans="1:16">
      <c r="A87" s="32">
        <v>86</v>
      </c>
      <c r="B87" s="33" t="s">
        <v>784</v>
      </c>
      <c r="C87" s="34" t="s">
        <v>630</v>
      </c>
      <c r="D87" s="34" t="s">
        <v>795</v>
      </c>
      <c r="E87" s="34" t="s">
        <v>921</v>
      </c>
      <c r="F87" s="35">
        <v>45362</v>
      </c>
      <c r="G87" s="35">
        <f t="shared" si="15"/>
        <v>45362</v>
      </c>
      <c r="H87" s="34"/>
      <c r="I87" s="48" t="s">
        <v>923</v>
      </c>
      <c r="J87" s="48" t="s">
        <v>792</v>
      </c>
      <c r="K87" s="34"/>
      <c r="L87" s="34"/>
      <c r="M87" s="37">
        <v>34134</v>
      </c>
      <c r="N87" s="37">
        <f t="shared" si="10"/>
        <v>6144.12</v>
      </c>
      <c r="O87" s="37">
        <f t="shared" si="12"/>
        <v>40278.120000000003</v>
      </c>
      <c r="P87" s="34"/>
    </row>
    <row r="88" spans="1:16">
      <c r="A88" s="32">
        <v>87</v>
      </c>
      <c r="B88" s="33" t="s">
        <v>784</v>
      </c>
      <c r="C88" s="34" t="s">
        <v>630</v>
      </c>
      <c r="D88" s="34" t="s">
        <v>795</v>
      </c>
      <c r="E88" s="34" t="s">
        <v>921</v>
      </c>
      <c r="F88" s="35">
        <v>45362</v>
      </c>
      <c r="G88" s="35">
        <f t="shared" si="15"/>
        <v>45362</v>
      </c>
      <c r="H88" s="34"/>
      <c r="I88" s="48" t="s">
        <v>448</v>
      </c>
      <c r="J88" s="48" t="s">
        <v>792</v>
      </c>
      <c r="K88" s="34"/>
      <c r="L88" s="34"/>
      <c r="M88" s="37"/>
      <c r="N88" s="37"/>
      <c r="O88" s="37">
        <f t="shared" si="12"/>
        <v>0</v>
      </c>
      <c r="P88" s="34"/>
    </row>
    <row r="89" spans="1:16">
      <c r="A89" s="32">
        <v>88</v>
      </c>
      <c r="B89" s="33" t="s">
        <v>784</v>
      </c>
      <c r="C89" s="34" t="s">
        <v>317</v>
      </c>
      <c r="D89" s="34" t="s">
        <v>795</v>
      </c>
      <c r="E89" s="34" t="s">
        <v>924</v>
      </c>
      <c r="F89" s="35">
        <v>45373</v>
      </c>
      <c r="G89" s="35">
        <f t="shared" si="15"/>
        <v>45373</v>
      </c>
      <c r="H89" s="34"/>
      <c r="I89" s="48" t="s">
        <v>925</v>
      </c>
      <c r="J89" s="36" t="s">
        <v>792</v>
      </c>
      <c r="K89" s="34"/>
      <c r="L89" s="34"/>
      <c r="M89" s="37">
        <v>190524</v>
      </c>
      <c r="N89" s="37">
        <f t="shared" si="10"/>
        <v>34294.32</v>
      </c>
      <c r="O89" s="37">
        <f t="shared" si="12"/>
        <v>224818.32</v>
      </c>
      <c r="P89" s="34"/>
    </row>
    <row r="90" spans="1:16">
      <c r="A90" s="32">
        <v>89</v>
      </c>
      <c r="B90" s="33" t="s">
        <v>784</v>
      </c>
      <c r="C90" s="34" t="s">
        <v>630</v>
      </c>
      <c r="D90" s="34" t="s">
        <v>795</v>
      </c>
      <c r="E90" s="34" t="s">
        <v>924</v>
      </c>
      <c r="F90" s="35">
        <v>45373</v>
      </c>
      <c r="G90" s="35">
        <f t="shared" si="15"/>
        <v>45373</v>
      </c>
      <c r="H90" s="34"/>
      <c r="I90" s="36" t="s">
        <v>622</v>
      </c>
      <c r="J90" s="48" t="s">
        <v>792</v>
      </c>
      <c r="K90" s="34"/>
      <c r="L90" s="34"/>
      <c r="M90" s="37">
        <v>17067</v>
      </c>
      <c r="N90" s="37">
        <f t="shared" si="10"/>
        <v>3072.06</v>
      </c>
      <c r="O90" s="37">
        <f t="shared" si="12"/>
        <v>20139.060000000001</v>
      </c>
      <c r="P90" s="34"/>
    </row>
    <row r="91" spans="1:16">
      <c r="A91" s="32">
        <v>90</v>
      </c>
      <c r="B91" s="33" t="s">
        <v>784</v>
      </c>
      <c r="C91" s="34" t="s">
        <v>317</v>
      </c>
      <c r="D91" s="34" t="s">
        <v>795</v>
      </c>
      <c r="E91" s="34" t="s">
        <v>926</v>
      </c>
      <c r="F91" s="35">
        <v>45385</v>
      </c>
      <c r="G91" s="35">
        <f t="shared" si="15"/>
        <v>45385</v>
      </c>
      <c r="H91" s="34"/>
      <c r="I91" s="48" t="s">
        <v>927</v>
      </c>
      <c r="J91" s="48"/>
      <c r="K91" s="34"/>
      <c r="L91" s="34"/>
      <c r="M91" s="37">
        <v>190524</v>
      </c>
      <c r="N91" s="37">
        <f t="shared" si="10"/>
        <v>34294.32</v>
      </c>
      <c r="O91" s="37">
        <f t="shared" si="12"/>
        <v>224818.32</v>
      </c>
      <c r="P91" s="34"/>
    </row>
    <row r="92" spans="1:16">
      <c r="A92" s="32">
        <v>91</v>
      </c>
      <c r="B92" s="33" t="s">
        <v>784</v>
      </c>
      <c r="C92" s="34" t="s">
        <v>630</v>
      </c>
      <c r="D92" s="34" t="s">
        <v>795</v>
      </c>
      <c r="E92" s="34" t="s">
        <v>926</v>
      </c>
      <c r="F92" s="35">
        <v>45385</v>
      </c>
      <c r="G92" s="35">
        <f t="shared" si="15"/>
        <v>45385</v>
      </c>
      <c r="H92" s="34"/>
      <c r="I92" s="36" t="s">
        <v>928</v>
      </c>
      <c r="J92" s="48" t="s">
        <v>792</v>
      </c>
      <c r="K92" s="34"/>
      <c r="L92" s="34"/>
      <c r="M92" s="37">
        <v>17067</v>
      </c>
      <c r="N92" s="37">
        <f t="shared" si="10"/>
        <v>3072.06</v>
      </c>
      <c r="O92" s="37">
        <f t="shared" si="12"/>
        <v>20139.060000000001</v>
      </c>
      <c r="P92" s="34"/>
    </row>
    <row r="93" spans="1:16">
      <c r="A93" s="32">
        <v>92</v>
      </c>
      <c r="B93" s="33" t="s">
        <v>784</v>
      </c>
      <c r="C93" s="34" t="s">
        <v>317</v>
      </c>
      <c r="D93" s="34" t="s">
        <v>795</v>
      </c>
      <c r="E93" s="34" t="s">
        <v>929</v>
      </c>
      <c r="F93" s="35">
        <v>45385</v>
      </c>
      <c r="G93" s="35">
        <f t="shared" si="15"/>
        <v>45385</v>
      </c>
      <c r="H93" s="34"/>
      <c r="I93" s="48" t="s">
        <v>930</v>
      </c>
      <c r="J93" s="36"/>
      <c r="K93" s="34"/>
      <c r="L93" s="34"/>
      <c r="M93" s="37">
        <v>190524</v>
      </c>
      <c r="N93" s="37">
        <f t="shared" si="10"/>
        <v>34294.32</v>
      </c>
      <c r="O93" s="37">
        <f t="shared" si="12"/>
        <v>224818.32</v>
      </c>
      <c r="P93" s="34"/>
    </row>
    <row r="94" spans="1:16">
      <c r="A94" s="32">
        <v>93</v>
      </c>
      <c r="B94" s="33" t="s">
        <v>784</v>
      </c>
      <c r="C94" s="34" t="s">
        <v>630</v>
      </c>
      <c r="D94" s="34" t="s">
        <v>795</v>
      </c>
      <c r="E94" s="34" t="s">
        <v>929</v>
      </c>
      <c r="F94" s="35">
        <v>45385</v>
      </c>
      <c r="G94" s="35">
        <f t="shared" si="15"/>
        <v>45385</v>
      </c>
      <c r="H94" s="34"/>
      <c r="I94" s="48" t="s">
        <v>931</v>
      </c>
      <c r="J94" s="48"/>
      <c r="K94" s="34"/>
      <c r="L94" s="34"/>
      <c r="M94" s="37">
        <v>17067</v>
      </c>
      <c r="N94" s="37">
        <f t="shared" si="10"/>
        <v>3072.06</v>
      </c>
      <c r="O94" s="37">
        <f t="shared" si="12"/>
        <v>20139.060000000001</v>
      </c>
      <c r="P94" s="34"/>
    </row>
    <row r="95" spans="1:16">
      <c r="A95" s="32">
        <v>94</v>
      </c>
      <c r="B95" s="33" t="s">
        <v>784</v>
      </c>
      <c r="C95" s="34" t="s">
        <v>317</v>
      </c>
      <c r="D95" s="34" t="s">
        <v>795</v>
      </c>
      <c r="E95" s="34" t="s">
        <v>932</v>
      </c>
      <c r="F95" s="35">
        <v>45385</v>
      </c>
      <c r="G95" s="35">
        <f t="shared" si="15"/>
        <v>45385</v>
      </c>
      <c r="H95" s="34"/>
      <c r="I95" s="36" t="s">
        <v>933</v>
      </c>
      <c r="J95" s="36" t="s">
        <v>852</v>
      </c>
      <c r="K95" s="34"/>
      <c r="L95" s="34"/>
      <c r="M95" s="37">
        <v>190524</v>
      </c>
      <c r="N95" s="37">
        <f t="shared" si="10"/>
        <v>34294.32</v>
      </c>
      <c r="O95" s="37">
        <f t="shared" si="12"/>
        <v>224818.32</v>
      </c>
      <c r="P95" s="34"/>
    </row>
    <row r="96" spans="1:16">
      <c r="A96" s="32">
        <v>95</v>
      </c>
      <c r="B96" s="33" t="s">
        <v>784</v>
      </c>
      <c r="C96" s="34" t="s">
        <v>630</v>
      </c>
      <c r="D96" s="34" t="s">
        <v>795</v>
      </c>
      <c r="E96" s="34" t="s">
        <v>932</v>
      </c>
      <c r="F96" s="35">
        <v>45385</v>
      </c>
      <c r="G96" s="35">
        <f t="shared" si="15"/>
        <v>45385</v>
      </c>
      <c r="H96" s="34"/>
      <c r="I96" s="48" t="s">
        <v>934</v>
      </c>
      <c r="J96" s="48" t="s">
        <v>852</v>
      </c>
      <c r="K96" s="34"/>
      <c r="L96" s="34"/>
      <c r="M96" s="37">
        <v>17067</v>
      </c>
      <c r="N96" s="37">
        <f t="shared" si="10"/>
        <v>3072.06</v>
      </c>
      <c r="O96" s="37">
        <f t="shared" si="12"/>
        <v>20139.060000000001</v>
      </c>
      <c r="P96" s="34"/>
    </row>
    <row r="97" spans="1:16">
      <c r="A97" s="32">
        <v>96</v>
      </c>
      <c r="B97" s="33" t="s">
        <v>784</v>
      </c>
      <c r="C97" s="34" t="s">
        <v>317</v>
      </c>
      <c r="D97" s="34" t="s">
        <v>795</v>
      </c>
      <c r="E97" s="34" t="s">
        <v>935</v>
      </c>
      <c r="F97" s="35">
        <v>45386</v>
      </c>
      <c r="G97" s="35">
        <f t="shared" si="15"/>
        <v>45386</v>
      </c>
      <c r="H97" s="34"/>
      <c r="I97" s="36" t="s">
        <v>936</v>
      </c>
      <c r="J97" s="48" t="s">
        <v>792</v>
      </c>
      <c r="K97" s="34"/>
      <c r="L97" s="34"/>
      <c r="M97" s="37">
        <v>148360</v>
      </c>
      <c r="N97" s="37">
        <f t="shared" si="10"/>
        <v>26704.799999999999</v>
      </c>
      <c r="O97" s="37">
        <f t="shared" si="12"/>
        <v>175064.8</v>
      </c>
      <c r="P97" s="34"/>
    </row>
    <row r="98" spans="1:16">
      <c r="A98" s="32">
        <v>97</v>
      </c>
      <c r="B98" s="33" t="s">
        <v>784</v>
      </c>
      <c r="C98" s="34" t="s">
        <v>317</v>
      </c>
      <c r="D98" s="34" t="s">
        <v>795</v>
      </c>
      <c r="E98" s="34" t="s">
        <v>937</v>
      </c>
      <c r="F98" s="35">
        <v>45404</v>
      </c>
      <c r="G98" s="35">
        <f t="shared" si="15"/>
        <v>45404</v>
      </c>
      <c r="H98" s="34"/>
      <c r="I98" s="48" t="s">
        <v>938</v>
      </c>
      <c r="J98" s="36" t="s">
        <v>792</v>
      </c>
      <c r="K98" s="34"/>
      <c r="L98" s="34"/>
      <c r="M98" s="37">
        <v>80000</v>
      </c>
      <c r="N98" s="37">
        <f t="shared" si="10"/>
        <v>14400</v>
      </c>
      <c r="O98" s="37">
        <f t="shared" si="12"/>
        <v>94400</v>
      </c>
      <c r="P98" s="34"/>
    </row>
    <row r="99" spans="1:16">
      <c r="A99" s="32">
        <v>98</v>
      </c>
      <c r="B99" s="33" t="s">
        <v>784</v>
      </c>
      <c r="C99" s="34" t="s">
        <v>630</v>
      </c>
      <c r="D99" s="34" t="s">
        <v>795</v>
      </c>
      <c r="E99" s="34" t="s">
        <v>937</v>
      </c>
      <c r="F99" s="35">
        <v>45404</v>
      </c>
      <c r="G99" s="35">
        <f t="shared" si="15"/>
        <v>45404</v>
      </c>
      <c r="H99" s="34"/>
      <c r="I99" s="48" t="s">
        <v>543</v>
      </c>
      <c r="J99" s="48"/>
      <c r="K99" s="34"/>
      <c r="L99" s="34"/>
      <c r="M99" s="37">
        <v>17067</v>
      </c>
      <c r="N99" s="37">
        <f t="shared" si="10"/>
        <v>3072.06</v>
      </c>
      <c r="O99" s="37">
        <f t="shared" si="12"/>
        <v>20139.060000000001</v>
      </c>
      <c r="P99" s="34"/>
    </row>
    <row r="100" spans="1:16">
      <c r="A100" s="32">
        <v>99</v>
      </c>
      <c r="B100" s="33" t="s">
        <v>784</v>
      </c>
      <c r="C100" s="34" t="s">
        <v>317</v>
      </c>
      <c r="D100" s="34" t="s">
        <v>795</v>
      </c>
      <c r="E100" s="34" t="s">
        <v>939</v>
      </c>
      <c r="F100" s="35">
        <v>45406</v>
      </c>
      <c r="G100" s="35">
        <v>45404</v>
      </c>
      <c r="H100" s="34"/>
      <c r="I100" s="48" t="s">
        <v>940</v>
      </c>
      <c r="J100" s="36" t="s">
        <v>792</v>
      </c>
      <c r="K100" s="34"/>
      <c r="L100" s="34"/>
      <c r="M100" s="37">
        <v>80000</v>
      </c>
      <c r="N100" s="37">
        <f t="shared" si="10"/>
        <v>14400</v>
      </c>
      <c r="O100" s="37">
        <f t="shared" si="12"/>
        <v>94400</v>
      </c>
      <c r="P100" s="34"/>
    </row>
    <row r="101" spans="1:16">
      <c r="A101" s="32">
        <v>100</v>
      </c>
      <c r="B101" s="33" t="s">
        <v>784</v>
      </c>
      <c r="C101" s="34" t="s">
        <v>630</v>
      </c>
      <c r="D101" s="34" t="s">
        <v>795</v>
      </c>
      <c r="E101" s="34" t="s">
        <v>939</v>
      </c>
      <c r="F101" s="35">
        <v>45406</v>
      </c>
      <c r="G101" s="35">
        <v>45404</v>
      </c>
      <c r="H101" s="34"/>
      <c r="I101" s="48" t="s">
        <v>941</v>
      </c>
      <c r="J101" s="48" t="s">
        <v>792</v>
      </c>
      <c r="K101" s="34"/>
      <c r="L101" s="34"/>
      <c r="M101" s="37">
        <v>17067</v>
      </c>
      <c r="N101" s="37">
        <f t="shared" si="10"/>
        <v>3072.06</v>
      </c>
      <c r="O101" s="37">
        <f t="shared" si="12"/>
        <v>20139.060000000001</v>
      </c>
      <c r="P101" s="34"/>
    </row>
    <row r="102" spans="1:16">
      <c r="A102" s="32">
        <v>101</v>
      </c>
      <c r="B102" s="33" t="s">
        <v>784</v>
      </c>
      <c r="C102" s="34" t="s">
        <v>317</v>
      </c>
      <c r="D102" s="34" t="s">
        <v>795</v>
      </c>
      <c r="E102" s="34" t="s">
        <v>942</v>
      </c>
      <c r="F102" s="35">
        <v>45407</v>
      </c>
      <c r="G102" s="35">
        <f>F102</f>
        <v>45407</v>
      </c>
      <c r="H102" s="34"/>
      <c r="I102" s="48" t="s">
        <v>476</v>
      </c>
      <c r="J102" s="48"/>
      <c r="K102" s="34"/>
      <c r="L102" s="34"/>
      <c r="M102" s="37">
        <v>190524</v>
      </c>
      <c r="N102" s="37">
        <f t="shared" si="10"/>
        <v>34294.32</v>
      </c>
      <c r="O102" s="37">
        <f t="shared" si="12"/>
        <v>224818.32</v>
      </c>
      <c r="P102" s="34"/>
    </row>
    <row r="103" spans="1:16">
      <c r="A103" s="32">
        <v>102</v>
      </c>
      <c r="B103" s="33" t="s">
        <v>784</v>
      </c>
      <c r="C103" s="34" t="s">
        <v>630</v>
      </c>
      <c r="D103" s="34" t="s">
        <v>795</v>
      </c>
      <c r="E103" s="34" t="s">
        <v>943</v>
      </c>
      <c r="F103" s="35">
        <v>45409</v>
      </c>
      <c r="G103" s="35">
        <f t="shared" ref="G103:G108" si="16">F103</f>
        <v>45409</v>
      </c>
      <c r="H103" s="34"/>
      <c r="I103" s="36" t="s">
        <v>420</v>
      </c>
      <c r="J103" s="48"/>
      <c r="K103" s="34"/>
      <c r="L103" s="34"/>
      <c r="M103" s="37">
        <v>17067</v>
      </c>
      <c r="N103" s="37">
        <f t="shared" si="10"/>
        <v>3072.06</v>
      </c>
      <c r="O103" s="37">
        <f t="shared" si="12"/>
        <v>20139.060000000001</v>
      </c>
      <c r="P103" s="34"/>
    </row>
    <row r="104" spans="1:16">
      <c r="A104" s="32">
        <v>103</v>
      </c>
      <c r="B104" s="33" t="s">
        <v>784</v>
      </c>
      <c r="C104" s="34" t="s">
        <v>317</v>
      </c>
      <c r="D104" s="34" t="s">
        <v>795</v>
      </c>
      <c r="E104" s="34" t="s">
        <v>944</v>
      </c>
      <c r="F104" s="35">
        <v>45432</v>
      </c>
      <c r="G104" s="35">
        <f t="shared" si="16"/>
        <v>45432</v>
      </c>
      <c r="H104" s="34"/>
      <c r="I104" s="48" t="s">
        <v>945</v>
      </c>
      <c r="J104" s="48" t="s">
        <v>792</v>
      </c>
      <c r="K104" s="34"/>
      <c r="L104" s="34"/>
      <c r="M104" s="37">
        <v>190524</v>
      </c>
      <c r="N104" s="37">
        <f t="shared" si="10"/>
        <v>34294.32</v>
      </c>
      <c r="O104" s="37">
        <f t="shared" si="12"/>
        <v>224818.32</v>
      </c>
      <c r="P104" s="34"/>
    </row>
    <row r="105" spans="1:16">
      <c r="A105" s="32">
        <v>104</v>
      </c>
      <c r="B105" s="33" t="s">
        <v>784</v>
      </c>
      <c r="C105" s="34" t="s">
        <v>317</v>
      </c>
      <c r="D105" s="34" t="s">
        <v>795</v>
      </c>
      <c r="E105" s="34" t="s">
        <v>946</v>
      </c>
      <c r="F105" s="35">
        <v>45432</v>
      </c>
      <c r="G105" s="35">
        <f t="shared" si="16"/>
        <v>45432</v>
      </c>
      <c r="H105" s="34"/>
      <c r="I105" s="48" t="s">
        <v>947</v>
      </c>
      <c r="J105" s="48"/>
      <c r="K105" s="34"/>
      <c r="L105" s="34"/>
      <c r="M105" s="37">
        <v>190524</v>
      </c>
      <c r="N105" s="37">
        <f t="shared" si="10"/>
        <v>34294.32</v>
      </c>
      <c r="O105" s="37">
        <f t="shared" si="12"/>
        <v>224818.32</v>
      </c>
      <c r="P105" s="34"/>
    </row>
    <row r="106" spans="1:16">
      <c r="A106" s="32">
        <v>105</v>
      </c>
      <c r="B106" s="33" t="s">
        <v>784</v>
      </c>
      <c r="C106" s="34" t="s">
        <v>317</v>
      </c>
      <c r="D106" s="34" t="s">
        <v>795</v>
      </c>
      <c r="E106" s="34" t="s">
        <v>948</v>
      </c>
      <c r="F106" s="35">
        <v>45432</v>
      </c>
      <c r="G106" s="35">
        <f t="shared" si="16"/>
        <v>45432</v>
      </c>
      <c r="H106" s="34"/>
      <c r="I106" s="36" t="s">
        <v>949</v>
      </c>
      <c r="J106" s="36"/>
      <c r="K106" s="34"/>
      <c r="L106" s="34"/>
      <c r="M106" s="37">
        <v>190524</v>
      </c>
      <c r="N106" s="37">
        <f t="shared" si="10"/>
        <v>34294.32</v>
      </c>
      <c r="O106" s="37">
        <f t="shared" si="12"/>
        <v>224818.32</v>
      </c>
      <c r="P106" s="34"/>
    </row>
    <row r="107" spans="1:16">
      <c r="A107" s="32">
        <v>106</v>
      </c>
      <c r="B107" s="33" t="s">
        <v>784</v>
      </c>
      <c r="C107" s="34" t="s">
        <v>630</v>
      </c>
      <c r="D107" s="34" t="s">
        <v>795</v>
      </c>
      <c r="E107" s="34" t="s">
        <v>948</v>
      </c>
      <c r="F107" s="35">
        <v>45432</v>
      </c>
      <c r="G107" s="35">
        <f t="shared" si="16"/>
        <v>45432</v>
      </c>
      <c r="H107" s="34"/>
      <c r="I107" s="48" t="s">
        <v>950</v>
      </c>
      <c r="J107" s="48"/>
      <c r="K107" s="34"/>
      <c r="L107" s="34"/>
      <c r="M107" s="37">
        <v>17067</v>
      </c>
      <c r="N107" s="37">
        <f t="shared" si="10"/>
        <v>3072.06</v>
      </c>
      <c r="O107" s="37">
        <f t="shared" si="12"/>
        <v>20139.060000000001</v>
      </c>
      <c r="P107" s="34"/>
    </row>
    <row r="108" spans="1:16">
      <c r="A108" s="32">
        <v>107</v>
      </c>
      <c r="B108" s="33" t="s">
        <v>784</v>
      </c>
      <c r="C108" s="34" t="s">
        <v>317</v>
      </c>
      <c r="D108" s="34" t="s">
        <v>795</v>
      </c>
      <c r="E108" s="34" t="s">
        <v>951</v>
      </c>
      <c r="F108" s="35">
        <v>45433</v>
      </c>
      <c r="G108" s="35">
        <f t="shared" si="16"/>
        <v>45433</v>
      </c>
      <c r="H108" s="34"/>
      <c r="I108" s="36" t="s">
        <v>952</v>
      </c>
      <c r="J108" s="48" t="s">
        <v>852</v>
      </c>
      <c r="K108" s="34"/>
      <c r="L108" s="34"/>
      <c r="M108" s="37">
        <v>190524</v>
      </c>
      <c r="N108" s="37">
        <f t="shared" si="10"/>
        <v>34294.32</v>
      </c>
      <c r="O108" s="37">
        <f t="shared" si="12"/>
        <v>224818.32</v>
      </c>
      <c r="P108" s="34"/>
    </row>
    <row r="109" spans="1:16">
      <c r="A109" s="32">
        <v>108</v>
      </c>
      <c r="B109" s="33" t="s">
        <v>784</v>
      </c>
      <c r="C109" s="34" t="s">
        <v>317</v>
      </c>
      <c r="D109" s="34" t="s">
        <v>795</v>
      </c>
      <c r="E109" s="34" t="s">
        <v>953</v>
      </c>
      <c r="F109" s="35">
        <v>45435</v>
      </c>
      <c r="G109" s="35">
        <v>45415</v>
      </c>
      <c r="H109" s="34"/>
      <c r="I109" s="48" t="s">
        <v>371</v>
      </c>
      <c r="J109" s="36" t="s">
        <v>792</v>
      </c>
      <c r="K109" s="34"/>
      <c r="L109" s="34"/>
      <c r="M109" s="37">
        <v>190524</v>
      </c>
      <c r="N109" s="37">
        <f t="shared" si="10"/>
        <v>34294.32</v>
      </c>
      <c r="O109" s="37">
        <f t="shared" si="12"/>
        <v>224818.32</v>
      </c>
      <c r="P109" s="34"/>
    </row>
    <row r="110" spans="1:16">
      <c r="A110" s="32">
        <v>109</v>
      </c>
      <c r="B110" s="33" t="s">
        <v>784</v>
      </c>
      <c r="C110" s="34" t="s">
        <v>630</v>
      </c>
      <c r="D110" s="34" t="s">
        <v>795</v>
      </c>
      <c r="E110" s="34" t="s">
        <v>953</v>
      </c>
      <c r="F110" s="35">
        <v>45435</v>
      </c>
      <c r="G110" s="35">
        <v>45415</v>
      </c>
      <c r="H110" s="34"/>
      <c r="I110" s="48" t="s">
        <v>954</v>
      </c>
      <c r="J110" s="48"/>
      <c r="K110" s="34"/>
      <c r="L110" s="34"/>
      <c r="M110" s="37">
        <v>17067</v>
      </c>
      <c r="N110" s="37">
        <f t="shared" si="10"/>
        <v>3072.06</v>
      </c>
      <c r="O110" s="37">
        <f t="shared" si="12"/>
        <v>20139.060000000001</v>
      </c>
      <c r="P110" s="34"/>
    </row>
    <row r="111" spans="1:16">
      <c r="A111" s="32">
        <v>110</v>
      </c>
      <c r="B111" s="33" t="s">
        <v>784</v>
      </c>
      <c r="C111" s="34" t="s">
        <v>317</v>
      </c>
      <c r="D111" s="34" t="s">
        <v>795</v>
      </c>
      <c r="E111" s="34" t="s">
        <v>955</v>
      </c>
      <c r="F111" s="35">
        <v>45442</v>
      </c>
      <c r="G111" s="35">
        <f>F111</f>
        <v>45442</v>
      </c>
      <c r="H111" s="34"/>
      <c r="I111" s="36" t="s">
        <v>956</v>
      </c>
      <c r="J111" s="36" t="s">
        <v>852</v>
      </c>
      <c r="K111" s="34"/>
      <c r="L111" s="34"/>
      <c r="M111" s="37">
        <v>190524</v>
      </c>
      <c r="N111" s="37">
        <f t="shared" si="10"/>
        <v>34294.32</v>
      </c>
      <c r="O111" s="37">
        <f t="shared" si="12"/>
        <v>224818.32</v>
      </c>
      <c r="P111" s="34"/>
    </row>
    <row r="112" spans="1:16">
      <c r="A112" s="32">
        <v>111</v>
      </c>
      <c r="B112" s="33" t="s">
        <v>784</v>
      </c>
      <c r="C112" s="34" t="s">
        <v>317</v>
      </c>
      <c r="D112" s="34" t="s">
        <v>795</v>
      </c>
      <c r="E112" s="34" t="s">
        <v>957</v>
      </c>
      <c r="F112" s="35">
        <v>45444</v>
      </c>
      <c r="G112" s="35">
        <f t="shared" ref="G112:G125" si="17">F112</f>
        <v>45444</v>
      </c>
      <c r="H112" s="34"/>
      <c r="I112" s="48" t="s">
        <v>958</v>
      </c>
      <c r="J112" s="48"/>
      <c r="K112" s="34"/>
      <c r="L112" s="34"/>
      <c r="M112" s="37">
        <v>190524</v>
      </c>
      <c r="N112" s="37">
        <f t="shared" si="10"/>
        <v>34294.32</v>
      </c>
      <c r="O112" s="37">
        <f t="shared" si="12"/>
        <v>224818.32</v>
      </c>
      <c r="P112" s="34"/>
    </row>
    <row r="113" spans="1:16">
      <c r="A113" s="32">
        <v>112</v>
      </c>
      <c r="B113" s="33" t="s">
        <v>784</v>
      </c>
      <c r="C113" s="34" t="s">
        <v>630</v>
      </c>
      <c r="D113" s="34" t="s">
        <v>795</v>
      </c>
      <c r="E113" s="34" t="s">
        <v>957</v>
      </c>
      <c r="F113" s="35">
        <v>45444</v>
      </c>
      <c r="G113" s="35">
        <f t="shared" si="17"/>
        <v>45444</v>
      </c>
      <c r="H113" s="34"/>
      <c r="I113" s="36" t="s">
        <v>604</v>
      </c>
      <c r="J113" s="48" t="s">
        <v>792</v>
      </c>
      <c r="K113" s="34"/>
      <c r="L113" s="34"/>
      <c r="M113" s="37">
        <v>17067</v>
      </c>
      <c r="N113" s="37">
        <f t="shared" si="10"/>
        <v>3072.06</v>
      </c>
      <c r="O113" s="37">
        <f t="shared" si="12"/>
        <v>20139.060000000001</v>
      </c>
      <c r="P113" s="34"/>
    </row>
    <row r="114" spans="1:16">
      <c r="A114" s="32">
        <v>113</v>
      </c>
      <c r="B114" s="33" t="s">
        <v>784</v>
      </c>
      <c r="C114" s="34" t="s">
        <v>317</v>
      </c>
      <c r="D114" s="34" t="s">
        <v>795</v>
      </c>
      <c r="E114" s="34" t="s">
        <v>959</v>
      </c>
      <c r="F114" s="35">
        <v>45450</v>
      </c>
      <c r="G114" s="35">
        <f t="shared" si="17"/>
        <v>45450</v>
      </c>
      <c r="H114" s="34"/>
      <c r="I114" s="48" t="s">
        <v>960</v>
      </c>
      <c r="J114" s="36" t="s">
        <v>792</v>
      </c>
      <c r="K114" s="34"/>
      <c r="L114" s="34"/>
      <c r="M114" s="37">
        <v>190524</v>
      </c>
      <c r="N114" s="37">
        <f t="shared" si="10"/>
        <v>34294.32</v>
      </c>
      <c r="O114" s="37">
        <f t="shared" si="12"/>
        <v>224818.32</v>
      </c>
      <c r="P114" s="34"/>
    </row>
    <row r="115" spans="1:16">
      <c r="A115" s="32">
        <v>114</v>
      </c>
      <c r="B115" s="33" t="s">
        <v>784</v>
      </c>
      <c r="C115" s="34" t="s">
        <v>630</v>
      </c>
      <c r="D115" s="34" t="s">
        <v>795</v>
      </c>
      <c r="E115" s="34" t="s">
        <v>959</v>
      </c>
      <c r="F115" s="35">
        <v>45450</v>
      </c>
      <c r="G115" s="35">
        <f t="shared" si="17"/>
        <v>45450</v>
      </c>
      <c r="H115" s="34"/>
      <c r="I115" s="36" t="s">
        <v>458</v>
      </c>
      <c r="J115" s="48" t="s">
        <v>792</v>
      </c>
      <c r="K115" s="34"/>
      <c r="L115" s="34"/>
      <c r="M115" s="37">
        <v>17067</v>
      </c>
      <c r="N115" s="37">
        <f t="shared" si="10"/>
        <v>3072.06</v>
      </c>
      <c r="O115" s="37">
        <f t="shared" si="12"/>
        <v>20139.060000000001</v>
      </c>
      <c r="P115" s="34"/>
    </row>
    <row r="116" spans="1:16">
      <c r="A116" s="32">
        <v>115</v>
      </c>
      <c r="B116" s="33" t="s">
        <v>784</v>
      </c>
      <c r="C116" s="34" t="s">
        <v>317</v>
      </c>
      <c r="D116" s="34" t="s">
        <v>795</v>
      </c>
      <c r="E116" s="34" t="s">
        <v>961</v>
      </c>
      <c r="F116" s="35">
        <v>45450</v>
      </c>
      <c r="G116" s="35">
        <f t="shared" si="17"/>
        <v>45450</v>
      </c>
      <c r="H116" s="34"/>
      <c r="I116" s="36" t="s">
        <v>326</v>
      </c>
      <c r="J116" s="36"/>
      <c r="K116" s="34"/>
      <c r="L116" s="34"/>
      <c r="M116" s="37">
        <v>190524</v>
      </c>
      <c r="N116" s="37">
        <f t="shared" si="10"/>
        <v>34294.32</v>
      </c>
      <c r="O116" s="37">
        <f t="shared" si="12"/>
        <v>224818.32</v>
      </c>
      <c r="P116" s="34"/>
    </row>
    <row r="117" spans="1:16">
      <c r="A117" s="32">
        <v>116</v>
      </c>
      <c r="B117" s="33" t="s">
        <v>784</v>
      </c>
      <c r="C117" s="34" t="s">
        <v>630</v>
      </c>
      <c r="D117" s="34" t="s">
        <v>795</v>
      </c>
      <c r="E117" s="34" t="s">
        <v>961</v>
      </c>
      <c r="F117" s="35">
        <v>45450</v>
      </c>
      <c r="G117" s="35">
        <f t="shared" si="17"/>
        <v>45450</v>
      </c>
      <c r="H117" s="34"/>
      <c r="I117" s="48" t="s">
        <v>962</v>
      </c>
      <c r="J117" s="48"/>
      <c r="K117" s="34"/>
      <c r="L117" s="34"/>
      <c r="M117" s="37">
        <v>17067</v>
      </c>
      <c r="N117" s="37">
        <f t="shared" si="10"/>
        <v>3072.06</v>
      </c>
      <c r="O117" s="37">
        <f t="shared" si="12"/>
        <v>20139.060000000001</v>
      </c>
      <c r="P117" s="34"/>
    </row>
    <row r="118" spans="1:16">
      <c r="A118" s="32">
        <v>117</v>
      </c>
      <c r="B118" s="33" t="s">
        <v>784</v>
      </c>
      <c r="C118" s="34" t="s">
        <v>317</v>
      </c>
      <c r="D118" s="34" t="s">
        <v>795</v>
      </c>
      <c r="E118" s="34" t="s">
        <v>963</v>
      </c>
      <c r="F118" s="35">
        <v>45451</v>
      </c>
      <c r="G118" s="35">
        <f t="shared" si="17"/>
        <v>45451</v>
      </c>
      <c r="H118" s="34"/>
      <c r="I118" s="48" t="s">
        <v>509</v>
      </c>
      <c r="J118" s="36"/>
      <c r="K118" s="34"/>
      <c r="L118" s="34"/>
      <c r="M118" s="37">
        <v>88458</v>
      </c>
      <c r="N118" s="37">
        <f t="shared" si="10"/>
        <v>15922.439999999999</v>
      </c>
      <c r="O118" s="37">
        <f t="shared" si="12"/>
        <v>104380.44</v>
      </c>
      <c r="P118" s="34"/>
    </row>
    <row r="119" spans="1:16">
      <c r="A119" s="32">
        <v>118</v>
      </c>
      <c r="B119" s="33" t="s">
        <v>784</v>
      </c>
      <c r="C119" s="34" t="s">
        <v>317</v>
      </c>
      <c r="D119" s="34" t="s">
        <v>795</v>
      </c>
      <c r="E119" s="34" t="s">
        <v>964</v>
      </c>
      <c r="F119" s="35">
        <v>45470</v>
      </c>
      <c r="G119" s="35">
        <f t="shared" si="17"/>
        <v>45470</v>
      </c>
      <c r="H119" s="34"/>
      <c r="I119" s="48" t="s">
        <v>965</v>
      </c>
      <c r="J119" s="36"/>
      <c r="K119" s="34"/>
      <c r="L119" s="34"/>
      <c r="M119" s="37">
        <v>190524</v>
      </c>
      <c r="N119" s="37">
        <f t="shared" si="10"/>
        <v>34294.32</v>
      </c>
      <c r="O119" s="37">
        <f t="shared" si="12"/>
        <v>224818.32</v>
      </c>
      <c r="P119" s="34"/>
    </row>
    <row r="120" spans="1:16">
      <c r="A120" s="32">
        <v>119</v>
      </c>
      <c r="B120" s="33" t="s">
        <v>784</v>
      </c>
      <c r="C120" s="34" t="s">
        <v>630</v>
      </c>
      <c r="D120" s="34" t="s">
        <v>795</v>
      </c>
      <c r="E120" s="34" t="s">
        <v>964</v>
      </c>
      <c r="F120" s="35">
        <v>45470</v>
      </c>
      <c r="G120" s="35">
        <f t="shared" si="17"/>
        <v>45470</v>
      </c>
      <c r="H120" s="34"/>
      <c r="I120" s="48" t="s">
        <v>383</v>
      </c>
      <c r="J120" s="48"/>
      <c r="K120" s="34"/>
      <c r="L120" s="34"/>
      <c r="M120" s="37">
        <v>17067</v>
      </c>
      <c r="N120" s="37">
        <f t="shared" si="10"/>
        <v>3072.06</v>
      </c>
      <c r="O120" s="37">
        <f t="shared" si="12"/>
        <v>20139.060000000001</v>
      </c>
      <c r="P120" s="34"/>
    </row>
    <row r="121" spans="1:16">
      <c r="A121" s="32">
        <v>120</v>
      </c>
      <c r="B121" s="33" t="s">
        <v>784</v>
      </c>
      <c r="C121" s="34" t="s">
        <v>317</v>
      </c>
      <c r="D121" s="34" t="s">
        <v>795</v>
      </c>
      <c r="E121" s="34" t="s">
        <v>966</v>
      </c>
      <c r="F121" s="35">
        <v>45470</v>
      </c>
      <c r="G121" s="35">
        <f t="shared" si="17"/>
        <v>45470</v>
      </c>
      <c r="H121" s="34"/>
      <c r="I121" s="48" t="s">
        <v>967</v>
      </c>
      <c r="J121" s="48"/>
      <c r="K121" s="34"/>
      <c r="L121" s="34"/>
      <c r="M121" s="37">
        <v>190524</v>
      </c>
      <c r="N121" s="37">
        <f t="shared" si="10"/>
        <v>34294.32</v>
      </c>
      <c r="O121" s="37">
        <f t="shared" si="12"/>
        <v>224818.32</v>
      </c>
      <c r="P121" s="34"/>
    </row>
    <row r="122" spans="1:16">
      <c r="A122" s="32">
        <v>121</v>
      </c>
      <c r="B122" s="33" t="s">
        <v>784</v>
      </c>
      <c r="C122" s="34" t="s">
        <v>630</v>
      </c>
      <c r="D122" s="34" t="s">
        <v>795</v>
      </c>
      <c r="E122" s="34" t="s">
        <v>966</v>
      </c>
      <c r="F122" s="35">
        <v>45470</v>
      </c>
      <c r="G122" s="35">
        <f t="shared" si="17"/>
        <v>45470</v>
      </c>
      <c r="H122" s="34"/>
      <c r="I122" s="48" t="s">
        <v>968</v>
      </c>
      <c r="J122" s="48"/>
      <c r="K122" s="34"/>
      <c r="L122" s="34"/>
      <c r="M122" s="37">
        <v>17067</v>
      </c>
      <c r="N122" s="37">
        <f t="shared" si="10"/>
        <v>3072.06</v>
      </c>
      <c r="O122" s="37">
        <f t="shared" si="12"/>
        <v>20139.060000000001</v>
      </c>
      <c r="P122" s="34"/>
    </row>
    <row r="123" spans="1:16">
      <c r="A123" s="32">
        <v>122</v>
      </c>
      <c r="B123" s="33" t="s">
        <v>784</v>
      </c>
      <c r="C123" s="34" t="s">
        <v>317</v>
      </c>
      <c r="D123" s="34" t="s">
        <v>795</v>
      </c>
      <c r="E123" s="34" t="s">
        <v>969</v>
      </c>
      <c r="F123" s="35">
        <v>45481</v>
      </c>
      <c r="G123" s="35">
        <f t="shared" si="17"/>
        <v>45481</v>
      </c>
      <c r="H123" s="34"/>
      <c r="I123" s="48" t="s">
        <v>970</v>
      </c>
      <c r="J123" s="48"/>
      <c r="K123" s="34"/>
      <c r="L123" s="34"/>
      <c r="M123" s="37">
        <v>190524</v>
      </c>
      <c r="N123" s="37">
        <f t="shared" si="10"/>
        <v>34294.32</v>
      </c>
      <c r="O123" s="37">
        <f t="shared" si="12"/>
        <v>224818.32</v>
      </c>
      <c r="P123" s="34"/>
    </row>
    <row r="124" spans="1:16">
      <c r="A124" s="32">
        <v>123</v>
      </c>
      <c r="B124" s="33" t="s">
        <v>784</v>
      </c>
      <c r="C124" s="34" t="s">
        <v>630</v>
      </c>
      <c r="D124" s="34" t="s">
        <v>795</v>
      </c>
      <c r="E124" s="34" t="s">
        <v>969</v>
      </c>
      <c r="F124" s="35">
        <v>45481</v>
      </c>
      <c r="G124" s="35">
        <f t="shared" si="17"/>
        <v>45481</v>
      </c>
      <c r="H124" s="34"/>
      <c r="I124" s="48" t="s">
        <v>971</v>
      </c>
      <c r="J124" s="48" t="s">
        <v>852</v>
      </c>
      <c r="K124" s="34"/>
      <c r="L124" s="34"/>
      <c r="M124" s="37">
        <v>34134</v>
      </c>
      <c r="N124" s="37">
        <f t="shared" ref="N124:N187" si="18">M124*18%</f>
        <v>6144.12</v>
      </c>
      <c r="O124" s="37">
        <f t="shared" si="12"/>
        <v>40278.120000000003</v>
      </c>
      <c r="P124" s="34"/>
    </row>
    <row r="125" spans="1:16">
      <c r="A125" s="32">
        <v>124</v>
      </c>
      <c r="B125" s="33" t="s">
        <v>784</v>
      </c>
      <c r="C125" s="34" t="s">
        <v>630</v>
      </c>
      <c r="D125" s="34" t="s">
        <v>795</v>
      </c>
      <c r="E125" s="34" t="s">
        <v>969</v>
      </c>
      <c r="F125" s="35">
        <v>45481</v>
      </c>
      <c r="G125" s="35">
        <f t="shared" si="17"/>
        <v>45481</v>
      </c>
      <c r="H125" s="34"/>
      <c r="I125" s="36" t="s">
        <v>408</v>
      </c>
      <c r="J125" s="48" t="s">
        <v>792</v>
      </c>
      <c r="K125" s="34"/>
      <c r="L125" s="34"/>
      <c r="M125" s="37"/>
      <c r="N125" s="37"/>
      <c r="O125" s="37">
        <f t="shared" si="12"/>
        <v>0</v>
      </c>
      <c r="P125" s="34"/>
    </row>
    <row r="126" spans="1:16">
      <c r="A126" s="32">
        <v>125</v>
      </c>
      <c r="B126" s="33" t="s">
        <v>784</v>
      </c>
      <c r="C126" s="34" t="s">
        <v>317</v>
      </c>
      <c r="D126" s="34" t="s">
        <v>795</v>
      </c>
      <c r="E126" s="34" t="s">
        <v>972</v>
      </c>
      <c r="F126" s="35">
        <v>45493</v>
      </c>
      <c r="G126" s="35">
        <f>F126</f>
        <v>45493</v>
      </c>
      <c r="H126" s="34"/>
      <c r="I126" s="48" t="s">
        <v>973</v>
      </c>
      <c r="J126" s="48" t="s">
        <v>792</v>
      </c>
      <c r="K126" s="34"/>
      <c r="L126" s="34"/>
      <c r="M126" s="37">
        <v>190524</v>
      </c>
      <c r="N126" s="37">
        <f t="shared" si="18"/>
        <v>34294.32</v>
      </c>
      <c r="O126" s="37">
        <f t="shared" si="12"/>
        <v>224818.32</v>
      </c>
      <c r="P126" s="34"/>
    </row>
    <row r="127" spans="1:16">
      <c r="A127" s="32">
        <v>126</v>
      </c>
      <c r="B127" s="33" t="s">
        <v>784</v>
      </c>
      <c r="C127" s="34" t="s">
        <v>630</v>
      </c>
      <c r="D127" s="34" t="s">
        <v>795</v>
      </c>
      <c r="E127" s="34" t="s">
        <v>972</v>
      </c>
      <c r="F127" s="35">
        <v>45493</v>
      </c>
      <c r="G127" s="35">
        <f t="shared" ref="G127:G134" si="19">F127</f>
        <v>45493</v>
      </c>
      <c r="H127" s="34"/>
      <c r="I127" s="48" t="s">
        <v>974</v>
      </c>
      <c r="J127" s="48" t="s">
        <v>792</v>
      </c>
      <c r="K127" s="34"/>
      <c r="L127" s="34"/>
      <c r="M127" s="37">
        <v>17067</v>
      </c>
      <c r="N127" s="37">
        <f t="shared" si="18"/>
        <v>3072.06</v>
      </c>
      <c r="O127" s="37">
        <f t="shared" si="12"/>
        <v>20139.060000000001</v>
      </c>
      <c r="P127" s="34"/>
    </row>
    <row r="128" spans="1:16">
      <c r="A128" s="32">
        <v>127</v>
      </c>
      <c r="B128" s="33" t="s">
        <v>784</v>
      </c>
      <c r="C128" s="34" t="s">
        <v>317</v>
      </c>
      <c r="D128" s="34" t="s">
        <v>795</v>
      </c>
      <c r="E128" s="34" t="s">
        <v>975</v>
      </c>
      <c r="F128" s="35">
        <v>45497</v>
      </c>
      <c r="G128" s="35">
        <f t="shared" si="19"/>
        <v>45497</v>
      </c>
      <c r="H128" s="34"/>
      <c r="I128" s="36" t="s">
        <v>976</v>
      </c>
      <c r="J128" s="36"/>
      <c r="K128" s="34"/>
      <c r="L128" s="34"/>
      <c r="M128" s="37">
        <v>190524</v>
      </c>
      <c r="N128" s="37">
        <f t="shared" si="18"/>
        <v>34294.32</v>
      </c>
      <c r="O128" s="37">
        <f t="shared" si="12"/>
        <v>224818.32</v>
      </c>
      <c r="P128" s="34"/>
    </row>
    <row r="129" spans="1:16">
      <c r="A129" s="32">
        <v>128</v>
      </c>
      <c r="B129" s="33" t="s">
        <v>784</v>
      </c>
      <c r="C129" s="34" t="s">
        <v>317</v>
      </c>
      <c r="D129" s="34" t="s">
        <v>795</v>
      </c>
      <c r="E129" s="34" t="s">
        <v>977</v>
      </c>
      <c r="F129" s="35">
        <v>45503</v>
      </c>
      <c r="G129" s="35">
        <f t="shared" si="19"/>
        <v>45503</v>
      </c>
      <c r="H129" s="34"/>
      <c r="I129" s="36" t="s">
        <v>978</v>
      </c>
      <c r="J129" s="48" t="s">
        <v>792</v>
      </c>
      <c r="K129" s="34"/>
      <c r="L129" s="34"/>
      <c r="M129" s="37">
        <v>190524</v>
      </c>
      <c r="N129" s="37">
        <f t="shared" si="18"/>
        <v>34294.32</v>
      </c>
      <c r="O129" s="37">
        <f t="shared" si="12"/>
        <v>224818.32</v>
      </c>
      <c r="P129" s="34"/>
    </row>
    <row r="130" spans="1:16">
      <c r="A130" s="32">
        <v>129</v>
      </c>
      <c r="B130" s="33" t="s">
        <v>784</v>
      </c>
      <c r="C130" s="34" t="s">
        <v>630</v>
      </c>
      <c r="D130" s="34" t="s">
        <v>795</v>
      </c>
      <c r="E130" s="34" t="s">
        <v>977</v>
      </c>
      <c r="F130" s="35">
        <v>45503</v>
      </c>
      <c r="G130" s="35">
        <f t="shared" si="19"/>
        <v>45503</v>
      </c>
      <c r="H130" s="34"/>
      <c r="I130" s="36" t="s">
        <v>979</v>
      </c>
      <c r="J130" s="48" t="s">
        <v>792</v>
      </c>
      <c r="K130" s="34"/>
      <c r="L130" s="34"/>
      <c r="M130" s="37">
        <v>17067</v>
      </c>
      <c r="N130" s="37">
        <f t="shared" si="18"/>
        <v>3072.06</v>
      </c>
      <c r="O130" s="37">
        <f t="shared" si="12"/>
        <v>20139.060000000001</v>
      </c>
      <c r="P130" s="34"/>
    </row>
    <row r="131" spans="1:16">
      <c r="A131" s="32">
        <v>130</v>
      </c>
      <c r="B131" s="33" t="s">
        <v>784</v>
      </c>
      <c r="C131" s="34" t="s">
        <v>317</v>
      </c>
      <c r="D131" s="34" t="s">
        <v>795</v>
      </c>
      <c r="E131" s="34" t="s">
        <v>980</v>
      </c>
      <c r="F131" s="35">
        <v>45505</v>
      </c>
      <c r="G131" s="35">
        <f t="shared" si="19"/>
        <v>45505</v>
      </c>
      <c r="H131" s="34"/>
      <c r="I131" s="36" t="s">
        <v>981</v>
      </c>
      <c r="J131" s="36" t="s">
        <v>792</v>
      </c>
      <c r="K131" s="34"/>
      <c r="L131" s="34"/>
      <c r="M131" s="37">
        <v>190524</v>
      </c>
      <c r="N131" s="37">
        <f t="shared" si="18"/>
        <v>34294.32</v>
      </c>
      <c r="O131" s="37">
        <f t="shared" ref="O131:O194" si="20">SUM(M131:N131)</f>
        <v>224818.32</v>
      </c>
      <c r="P131" s="34"/>
    </row>
    <row r="132" spans="1:16">
      <c r="A132" s="32">
        <v>131</v>
      </c>
      <c r="B132" s="33" t="s">
        <v>784</v>
      </c>
      <c r="C132" s="34" t="s">
        <v>317</v>
      </c>
      <c r="D132" s="34" t="s">
        <v>795</v>
      </c>
      <c r="E132" s="34" t="s">
        <v>982</v>
      </c>
      <c r="F132" s="35">
        <v>45505</v>
      </c>
      <c r="G132" s="35">
        <f t="shared" si="19"/>
        <v>45505</v>
      </c>
      <c r="H132" s="34"/>
      <c r="I132" s="36" t="s">
        <v>983</v>
      </c>
      <c r="J132" s="36" t="s">
        <v>792</v>
      </c>
      <c r="K132" s="34"/>
      <c r="L132" s="34"/>
      <c r="M132" s="37">
        <v>222100</v>
      </c>
      <c r="N132" s="37">
        <f t="shared" si="18"/>
        <v>39978</v>
      </c>
      <c r="O132" s="37">
        <f t="shared" si="20"/>
        <v>262078</v>
      </c>
      <c r="P132" s="34"/>
    </row>
    <row r="133" spans="1:16">
      <c r="A133" s="32">
        <v>132</v>
      </c>
      <c r="B133" s="33" t="s">
        <v>784</v>
      </c>
      <c r="C133" s="34" t="s">
        <v>630</v>
      </c>
      <c r="D133" s="34" t="s">
        <v>795</v>
      </c>
      <c r="E133" s="34" t="s">
        <v>984</v>
      </c>
      <c r="F133" s="35">
        <v>45506</v>
      </c>
      <c r="G133" s="35">
        <f t="shared" si="19"/>
        <v>45506</v>
      </c>
      <c r="H133" s="34"/>
      <c r="I133" s="48" t="s">
        <v>985</v>
      </c>
      <c r="J133" s="36"/>
      <c r="K133" s="34"/>
      <c r="L133" s="34"/>
      <c r="M133" s="37">
        <v>43700</v>
      </c>
      <c r="N133" s="37">
        <f t="shared" si="18"/>
        <v>7866</v>
      </c>
      <c r="O133" s="37">
        <f t="shared" si="20"/>
        <v>51566</v>
      </c>
      <c r="P133" s="34"/>
    </row>
    <row r="134" spans="1:16">
      <c r="A134" s="32">
        <v>133</v>
      </c>
      <c r="B134" s="33" t="s">
        <v>784</v>
      </c>
      <c r="C134" s="34" t="s">
        <v>630</v>
      </c>
      <c r="D134" s="34" t="s">
        <v>795</v>
      </c>
      <c r="E134" s="34" t="s">
        <v>984</v>
      </c>
      <c r="F134" s="35">
        <v>45506</v>
      </c>
      <c r="G134" s="35">
        <f t="shared" si="19"/>
        <v>45506</v>
      </c>
      <c r="H134" s="34"/>
      <c r="I134" s="36" t="s">
        <v>986</v>
      </c>
      <c r="J134" s="36"/>
      <c r="K134" s="34"/>
      <c r="L134" s="34"/>
      <c r="M134" s="37"/>
      <c r="N134" s="37"/>
      <c r="O134" s="37">
        <f t="shared" si="20"/>
        <v>0</v>
      </c>
      <c r="P134" s="34"/>
    </row>
    <row r="135" spans="1:16">
      <c r="A135" s="32">
        <v>134</v>
      </c>
      <c r="B135" s="33" t="s">
        <v>784</v>
      </c>
      <c r="C135" s="34" t="s">
        <v>317</v>
      </c>
      <c r="D135" s="34" t="s">
        <v>795</v>
      </c>
      <c r="E135" s="34" t="s">
        <v>987</v>
      </c>
      <c r="F135" s="35">
        <v>45514</v>
      </c>
      <c r="G135" s="35">
        <f>F135</f>
        <v>45514</v>
      </c>
      <c r="H135" s="34"/>
      <c r="I135" s="36" t="s">
        <v>988</v>
      </c>
      <c r="J135" s="36" t="s">
        <v>792</v>
      </c>
      <c r="K135" s="34"/>
      <c r="L135" s="34"/>
      <c r="M135" s="37">
        <v>82000</v>
      </c>
      <c r="N135" s="37">
        <f t="shared" si="18"/>
        <v>14760</v>
      </c>
      <c r="O135" s="37">
        <f t="shared" si="20"/>
        <v>96760</v>
      </c>
      <c r="P135" s="34"/>
    </row>
    <row r="136" spans="1:16">
      <c r="A136" s="32">
        <v>135</v>
      </c>
      <c r="B136" s="33" t="s">
        <v>784</v>
      </c>
      <c r="C136" s="34" t="s">
        <v>630</v>
      </c>
      <c r="D136" s="34" t="s">
        <v>795</v>
      </c>
      <c r="E136" s="34" t="s">
        <v>987</v>
      </c>
      <c r="F136" s="35">
        <v>45514</v>
      </c>
      <c r="G136" s="35">
        <f t="shared" ref="G136:G145" si="21">F136</f>
        <v>45514</v>
      </c>
      <c r="H136" s="34"/>
      <c r="I136" s="48" t="s">
        <v>629</v>
      </c>
      <c r="J136" s="48" t="s">
        <v>792</v>
      </c>
      <c r="K136" s="34"/>
      <c r="L136" s="34"/>
      <c r="M136" s="37">
        <v>17067</v>
      </c>
      <c r="N136" s="37">
        <f t="shared" si="18"/>
        <v>3072.06</v>
      </c>
      <c r="O136" s="37">
        <f t="shared" si="20"/>
        <v>20139.060000000001</v>
      </c>
      <c r="P136" s="34"/>
    </row>
    <row r="137" spans="1:16">
      <c r="A137" s="32">
        <v>136</v>
      </c>
      <c r="B137" s="33" t="s">
        <v>784</v>
      </c>
      <c r="C137" s="34" t="s">
        <v>317</v>
      </c>
      <c r="D137" s="34" t="s">
        <v>795</v>
      </c>
      <c r="E137" s="34" t="s">
        <v>989</v>
      </c>
      <c r="F137" s="35">
        <v>45517</v>
      </c>
      <c r="G137" s="35">
        <f t="shared" si="21"/>
        <v>45517</v>
      </c>
      <c r="H137" s="34"/>
      <c r="I137" s="48" t="s">
        <v>402</v>
      </c>
      <c r="J137" s="36" t="s">
        <v>792</v>
      </c>
      <c r="K137" s="34"/>
      <c r="L137" s="34"/>
      <c r="M137" s="37">
        <v>82000</v>
      </c>
      <c r="N137" s="37">
        <f t="shared" si="18"/>
        <v>14760</v>
      </c>
      <c r="O137" s="37">
        <f t="shared" si="20"/>
        <v>96760</v>
      </c>
      <c r="P137" s="34"/>
    </row>
    <row r="138" spans="1:16">
      <c r="A138" s="32">
        <v>137</v>
      </c>
      <c r="B138" s="33" t="s">
        <v>784</v>
      </c>
      <c r="C138" s="34" t="s">
        <v>317</v>
      </c>
      <c r="D138" s="34" t="s">
        <v>795</v>
      </c>
      <c r="E138" s="34" t="s">
        <v>990</v>
      </c>
      <c r="F138" s="35">
        <v>45520</v>
      </c>
      <c r="G138" s="35">
        <f t="shared" si="21"/>
        <v>45520</v>
      </c>
      <c r="H138" s="34"/>
      <c r="I138" s="48" t="s">
        <v>991</v>
      </c>
      <c r="J138" s="36" t="s">
        <v>792</v>
      </c>
      <c r="K138" s="34"/>
      <c r="L138" s="34"/>
      <c r="M138" s="37">
        <v>190524</v>
      </c>
      <c r="N138" s="37">
        <f t="shared" si="18"/>
        <v>34294.32</v>
      </c>
      <c r="O138" s="37">
        <f t="shared" si="20"/>
        <v>224818.32</v>
      </c>
      <c r="P138" s="34"/>
    </row>
    <row r="139" spans="1:16">
      <c r="A139" s="32">
        <v>138</v>
      </c>
      <c r="B139" s="33" t="s">
        <v>784</v>
      </c>
      <c r="C139" s="34" t="s">
        <v>317</v>
      </c>
      <c r="D139" s="34" t="s">
        <v>795</v>
      </c>
      <c r="E139" s="34" t="s">
        <v>992</v>
      </c>
      <c r="F139" s="35">
        <v>45527</v>
      </c>
      <c r="G139" s="35">
        <f t="shared" si="21"/>
        <v>45527</v>
      </c>
      <c r="H139" s="34"/>
      <c r="I139" s="36" t="s">
        <v>598</v>
      </c>
      <c r="J139" s="48"/>
      <c r="K139" s="34"/>
      <c r="L139" s="34"/>
      <c r="M139" s="37">
        <v>190524</v>
      </c>
      <c r="N139" s="37">
        <f t="shared" si="18"/>
        <v>34294.32</v>
      </c>
      <c r="O139" s="37">
        <f t="shared" si="20"/>
        <v>224818.32</v>
      </c>
      <c r="P139" s="34"/>
    </row>
    <row r="140" spans="1:16">
      <c r="A140" s="32">
        <v>139</v>
      </c>
      <c r="B140" s="33" t="s">
        <v>784</v>
      </c>
      <c r="C140" s="34" t="s">
        <v>317</v>
      </c>
      <c r="D140" s="34" t="s">
        <v>795</v>
      </c>
      <c r="E140" s="34" t="s">
        <v>993</v>
      </c>
      <c r="F140" s="35">
        <v>45532</v>
      </c>
      <c r="G140" s="35">
        <f t="shared" si="21"/>
        <v>45532</v>
      </c>
      <c r="H140" s="34"/>
      <c r="I140" s="36" t="s">
        <v>322</v>
      </c>
      <c r="J140" s="48"/>
      <c r="K140" s="34"/>
      <c r="L140" s="34"/>
      <c r="M140" s="37">
        <v>82000</v>
      </c>
      <c r="N140" s="37">
        <f t="shared" si="18"/>
        <v>14760</v>
      </c>
      <c r="O140" s="37">
        <f t="shared" si="20"/>
        <v>96760</v>
      </c>
      <c r="P140" s="34"/>
    </row>
    <row r="141" spans="1:16">
      <c r="A141" s="32">
        <v>140</v>
      </c>
      <c r="B141" s="33" t="s">
        <v>784</v>
      </c>
      <c r="C141" s="34" t="s">
        <v>630</v>
      </c>
      <c r="D141" s="34" t="s">
        <v>795</v>
      </c>
      <c r="E141" s="34" t="s">
        <v>993</v>
      </c>
      <c r="F141" s="35">
        <v>45532</v>
      </c>
      <c r="G141" s="35">
        <f t="shared" si="21"/>
        <v>45532</v>
      </c>
      <c r="H141" s="34"/>
      <c r="I141" s="48" t="s">
        <v>994</v>
      </c>
      <c r="J141" s="48"/>
      <c r="K141" s="34"/>
      <c r="L141" s="34"/>
      <c r="M141" s="37">
        <v>17067</v>
      </c>
      <c r="N141" s="37">
        <f t="shared" si="18"/>
        <v>3072.06</v>
      </c>
      <c r="O141" s="37">
        <f t="shared" si="20"/>
        <v>20139.060000000001</v>
      </c>
      <c r="P141" s="34"/>
    </row>
    <row r="142" spans="1:16">
      <c r="A142" s="32">
        <v>141</v>
      </c>
      <c r="B142" s="33" t="s">
        <v>784</v>
      </c>
      <c r="C142" s="34" t="s">
        <v>317</v>
      </c>
      <c r="D142" s="34" t="s">
        <v>795</v>
      </c>
      <c r="E142" s="34" t="s">
        <v>995</v>
      </c>
      <c r="F142" s="35">
        <v>45533</v>
      </c>
      <c r="G142" s="35">
        <f t="shared" si="21"/>
        <v>45533</v>
      </c>
      <c r="H142" s="34"/>
      <c r="I142" s="48" t="s">
        <v>996</v>
      </c>
      <c r="J142" s="36"/>
      <c r="K142" s="34"/>
      <c r="L142" s="34"/>
      <c r="M142" s="37">
        <v>78103</v>
      </c>
      <c r="N142" s="37">
        <f t="shared" si="18"/>
        <v>14058.539999999999</v>
      </c>
      <c r="O142" s="37">
        <f t="shared" si="20"/>
        <v>92161.54</v>
      </c>
      <c r="P142" s="34"/>
    </row>
    <row r="143" spans="1:16">
      <c r="A143" s="32">
        <v>142</v>
      </c>
      <c r="B143" s="33" t="s">
        <v>784</v>
      </c>
      <c r="C143" s="34" t="s">
        <v>317</v>
      </c>
      <c r="D143" s="34" t="s">
        <v>795</v>
      </c>
      <c r="E143" s="34" t="s">
        <v>997</v>
      </c>
      <c r="F143" s="35">
        <v>45533</v>
      </c>
      <c r="G143" s="35">
        <f t="shared" si="21"/>
        <v>45533</v>
      </c>
      <c r="H143" s="34"/>
      <c r="I143" s="48" t="s">
        <v>612</v>
      </c>
      <c r="J143" s="36"/>
      <c r="K143" s="34"/>
      <c r="L143" s="34"/>
      <c r="M143" s="37">
        <v>190524</v>
      </c>
      <c r="N143" s="37">
        <f t="shared" si="18"/>
        <v>34294.32</v>
      </c>
      <c r="O143" s="37">
        <f t="shared" si="20"/>
        <v>224818.32</v>
      </c>
      <c r="P143" s="34"/>
    </row>
    <row r="144" spans="1:16">
      <c r="A144" s="32">
        <v>143</v>
      </c>
      <c r="B144" s="33" t="s">
        <v>784</v>
      </c>
      <c r="C144" s="34" t="s">
        <v>630</v>
      </c>
      <c r="D144" s="34" t="s">
        <v>795</v>
      </c>
      <c r="E144" s="34" t="s">
        <v>997</v>
      </c>
      <c r="F144" s="35">
        <v>45533</v>
      </c>
      <c r="G144" s="35">
        <f t="shared" si="21"/>
        <v>45533</v>
      </c>
      <c r="H144" s="34"/>
      <c r="I144" s="48" t="s">
        <v>998</v>
      </c>
      <c r="J144" s="48"/>
      <c r="K144" s="34"/>
      <c r="L144" s="34"/>
      <c r="M144" s="37">
        <v>34134</v>
      </c>
      <c r="N144" s="37">
        <f t="shared" si="18"/>
        <v>6144.12</v>
      </c>
      <c r="O144" s="37">
        <f t="shared" si="20"/>
        <v>40278.120000000003</v>
      </c>
      <c r="P144" s="34"/>
    </row>
    <row r="145" spans="1:16">
      <c r="A145" s="32">
        <v>144</v>
      </c>
      <c r="B145" s="33" t="s">
        <v>784</v>
      </c>
      <c r="C145" s="34" t="s">
        <v>630</v>
      </c>
      <c r="D145" s="34" t="s">
        <v>795</v>
      </c>
      <c r="E145" s="34" t="s">
        <v>997</v>
      </c>
      <c r="F145" s="35">
        <v>45533</v>
      </c>
      <c r="G145" s="35">
        <f t="shared" si="21"/>
        <v>45533</v>
      </c>
      <c r="H145" s="34"/>
      <c r="I145" s="48" t="s">
        <v>999</v>
      </c>
      <c r="J145" s="48"/>
      <c r="K145" s="34"/>
      <c r="L145" s="34"/>
      <c r="M145" s="37"/>
      <c r="N145" s="37"/>
      <c r="O145" s="37">
        <f t="shared" si="20"/>
        <v>0</v>
      </c>
      <c r="P145" s="34"/>
    </row>
    <row r="146" spans="1:16">
      <c r="A146" s="32">
        <v>145</v>
      </c>
      <c r="B146" s="33" t="s">
        <v>784</v>
      </c>
      <c r="C146" s="34" t="s">
        <v>317</v>
      </c>
      <c r="D146" s="34" t="s">
        <v>795</v>
      </c>
      <c r="E146" s="34" t="s">
        <v>1000</v>
      </c>
      <c r="F146" s="35">
        <v>45536</v>
      </c>
      <c r="G146" s="35">
        <v>45532</v>
      </c>
      <c r="H146" s="34"/>
      <c r="I146" s="48" t="s">
        <v>1001</v>
      </c>
      <c r="J146" s="48"/>
      <c r="K146" s="34"/>
      <c r="L146" s="34"/>
      <c r="M146" s="37">
        <v>190524</v>
      </c>
      <c r="N146" s="37">
        <f t="shared" si="18"/>
        <v>34294.32</v>
      </c>
      <c r="O146" s="37">
        <f t="shared" si="20"/>
        <v>224818.32</v>
      </c>
      <c r="P146" s="34"/>
    </row>
    <row r="147" spans="1:16">
      <c r="A147" s="32">
        <v>146</v>
      </c>
      <c r="B147" s="33" t="s">
        <v>784</v>
      </c>
      <c r="C147" s="34" t="s">
        <v>630</v>
      </c>
      <c r="D147" s="34" t="s">
        <v>795</v>
      </c>
      <c r="E147" s="34" t="s">
        <v>1000</v>
      </c>
      <c r="F147" s="35">
        <v>45536</v>
      </c>
      <c r="G147" s="35">
        <v>45532</v>
      </c>
      <c r="H147" s="34"/>
      <c r="I147" s="48" t="s">
        <v>1002</v>
      </c>
      <c r="J147" s="48" t="s">
        <v>852</v>
      </c>
      <c r="K147" s="34"/>
      <c r="L147" s="34"/>
      <c r="M147" s="37">
        <v>17067</v>
      </c>
      <c r="N147" s="37">
        <f t="shared" si="18"/>
        <v>3072.06</v>
      </c>
      <c r="O147" s="37">
        <f t="shared" si="20"/>
        <v>20139.060000000001</v>
      </c>
      <c r="P147" s="34"/>
    </row>
    <row r="148" spans="1:16">
      <c r="A148" s="32">
        <v>147</v>
      </c>
      <c r="B148" s="33" t="s">
        <v>784</v>
      </c>
      <c r="C148" s="34" t="s">
        <v>317</v>
      </c>
      <c r="D148" s="34" t="s">
        <v>795</v>
      </c>
      <c r="E148" s="34" t="s">
        <v>1003</v>
      </c>
      <c r="F148" s="35">
        <v>45538</v>
      </c>
      <c r="G148" s="35">
        <f>F148</f>
        <v>45538</v>
      </c>
      <c r="H148" s="34"/>
      <c r="I148" s="48" t="s">
        <v>1004</v>
      </c>
      <c r="J148" s="48" t="s">
        <v>792</v>
      </c>
      <c r="K148" s="34"/>
      <c r="L148" s="34"/>
      <c r="M148" s="37">
        <v>222100</v>
      </c>
      <c r="N148" s="37">
        <f t="shared" si="18"/>
        <v>39978</v>
      </c>
      <c r="O148" s="37">
        <f t="shared" si="20"/>
        <v>262078</v>
      </c>
      <c r="P148" s="34"/>
    </row>
    <row r="149" spans="1:16">
      <c r="A149" s="32">
        <v>148</v>
      </c>
      <c r="B149" s="33" t="s">
        <v>784</v>
      </c>
      <c r="C149" s="34" t="s">
        <v>630</v>
      </c>
      <c r="D149" s="34" t="s">
        <v>795</v>
      </c>
      <c r="E149" s="34" t="s">
        <v>1003</v>
      </c>
      <c r="F149" s="35">
        <v>45538</v>
      </c>
      <c r="G149" s="35">
        <f t="shared" ref="G149:G152" si="22">F149</f>
        <v>45538</v>
      </c>
      <c r="H149" s="34"/>
      <c r="I149" s="48" t="s">
        <v>1005</v>
      </c>
      <c r="J149" s="48" t="s">
        <v>792</v>
      </c>
      <c r="K149" s="34"/>
      <c r="L149" s="34"/>
      <c r="M149" s="37">
        <v>17067</v>
      </c>
      <c r="N149" s="37">
        <f t="shared" si="18"/>
        <v>3072.06</v>
      </c>
      <c r="O149" s="37">
        <f t="shared" si="20"/>
        <v>20139.060000000001</v>
      </c>
      <c r="P149" s="34"/>
    </row>
    <row r="150" spans="1:16">
      <c r="A150" s="32">
        <v>149</v>
      </c>
      <c r="B150" s="33" t="s">
        <v>784</v>
      </c>
      <c r="C150" s="34" t="s">
        <v>317</v>
      </c>
      <c r="D150" s="34" t="s">
        <v>795</v>
      </c>
      <c r="E150" s="34" t="s">
        <v>1006</v>
      </c>
      <c r="F150" s="35">
        <v>45539</v>
      </c>
      <c r="G150" s="35">
        <f t="shared" si="22"/>
        <v>45539</v>
      </c>
      <c r="H150" s="34"/>
      <c r="I150" s="51" t="s">
        <v>386</v>
      </c>
      <c r="J150" s="48" t="s">
        <v>792</v>
      </c>
      <c r="K150" s="34"/>
      <c r="L150" s="34"/>
      <c r="M150" s="37">
        <v>190524</v>
      </c>
      <c r="N150" s="37">
        <f t="shared" si="18"/>
        <v>34294.32</v>
      </c>
      <c r="O150" s="37">
        <f t="shared" si="20"/>
        <v>224818.32</v>
      </c>
      <c r="P150" s="34"/>
    </row>
    <row r="151" spans="1:16">
      <c r="A151" s="32">
        <v>150</v>
      </c>
      <c r="B151" s="33" t="s">
        <v>784</v>
      </c>
      <c r="C151" s="34" t="s">
        <v>630</v>
      </c>
      <c r="D151" s="34" t="s">
        <v>795</v>
      </c>
      <c r="E151" s="34" t="s">
        <v>1007</v>
      </c>
      <c r="F151" s="35">
        <v>45552</v>
      </c>
      <c r="G151" s="35">
        <f t="shared" si="22"/>
        <v>45552</v>
      </c>
      <c r="H151" s="34"/>
      <c r="I151" s="48" t="s">
        <v>1008</v>
      </c>
      <c r="J151" s="48" t="s">
        <v>792</v>
      </c>
      <c r="K151" s="34"/>
      <c r="L151" s="34"/>
      <c r="M151" s="37">
        <v>34134</v>
      </c>
      <c r="N151" s="37">
        <f t="shared" si="18"/>
        <v>6144.12</v>
      </c>
      <c r="O151" s="37">
        <f t="shared" si="20"/>
        <v>40278.120000000003</v>
      </c>
      <c r="P151" s="34"/>
    </row>
    <row r="152" spans="1:16">
      <c r="A152" s="32">
        <v>151</v>
      </c>
      <c r="B152" s="33" t="s">
        <v>784</v>
      </c>
      <c r="C152" s="34" t="s">
        <v>630</v>
      </c>
      <c r="D152" s="34" t="s">
        <v>795</v>
      </c>
      <c r="E152" s="34" t="s">
        <v>1007</v>
      </c>
      <c r="F152" s="35">
        <v>45552</v>
      </c>
      <c r="G152" s="35">
        <f t="shared" si="22"/>
        <v>45552</v>
      </c>
      <c r="H152" s="34"/>
      <c r="I152" s="48" t="s">
        <v>1009</v>
      </c>
      <c r="J152" s="48" t="s">
        <v>792</v>
      </c>
      <c r="K152" s="34"/>
      <c r="L152" s="34"/>
      <c r="M152" s="37"/>
      <c r="N152" s="37"/>
      <c r="O152" s="37">
        <f t="shared" si="20"/>
        <v>0</v>
      </c>
      <c r="P152" s="34"/>
    </row>
    <row r="153" spans="1:16">
      <c r="A153" s="32">
        <v>152</v>
      </c>
      <c r="B153" s="33" t="s">
        <v>784</v>
      </c>
      <c r="C153" s="34" t="s">
        <v>317</v>
      </c>
      <c r="D153" s="34" t="s">
        <v>795</v>
      </c>
      <c r="E153" s="34" t="s">
        <v>1010</v>
      </c>
      <c r="F153" s="35">
        <v>45566</v>
      </c>
      <c r="G153" s="46">
        <v>45555</v>
      </c>
      <c r="H153" s="34"/>
      <c r="I153" s="51" t="s">
        <v>1011</v>
      </c>
      <c r="J153" s="51"/>
      <c r="K153" s="34"/>
      <c r="L153" s="34"/>
      <c r="M153" s="37">
        <v>190524</v>
      </c>
      <c r="N153" s="37">
        <f t="shared" si="18"/>
        <v>34294.32</v>
      </c>
      <c r="O153" s="37">
        <f t="shared" si="20"/>
        <v>224818.32</v>
      </c>
      <c r="P153" s="34"/>
    </row>
    <row r="154" spans="1:16">
      <c r="A154" s="32">
        <v>153</v>
      </c>
      <c r="B154" s="33" t="s">
        <v>784</v>
      </c>
      <c r="C154" s="34" t="s">
        <v>630</v>
      </c>
      <c r="D154" s="34" t="s">
        <v>795</v>
      </c>
      <c r="E154" s="34" t="s">
        <v>1010</v>
      </c>
      <c r="F154" s="35">
        <v>45566</v>
      </c>
      <c r="G154" s="46">
        <v>45555</v>
      </c>
      <c r="H154" s="34"/>
      <c r="I154" s="48" t="s">
        <v>1012</v>
      </c>
      <c r="J154" s="48"/>
      <c r="K154" s="34"/>
      <c r="L154" s="34"/>
      <c r="M154" s="37">
        <v>34134</v>
      </c>
      <c r="N154" s="37">
        <f t="shared" si="18"/>
        <v>6144.12</v>
      </c>
      <c r="O154" s="37">
        <f t="shared" si="20"/>
        <v>40278.120000000003</v>
      </c>
      <c r="P154" s="34"/>
    </row>
    <row r="155" spans="1:16">
      <c r="A155" s="32">
        <v>154</v>
      </c>
      <c r="B155" s="33" t="s">
        <v>784</v>
      </c>
      <c r="C155" s="34" t="s">
        <v>630</v>
      </c>
      <c r="D155" s="34" t="s">
        <v>795</v>
      </c>
      <c r="E155" s="34" t="s">
        <v>1010</v>
      </c>
      <c r="F155" s="35">
        <v>45566</v>
      </c>
      <c r="G155" s="46">
        <v>45555</v>
      </c>
      <c r="H155" s="34"/>
      <c r="I155" s="48" t="s">
        <v>1013</v>
      </c>
      <c r="J155" s="48"/>
      <c r="K155" s="34"/>
      <c r="L155" s="34"/>
      <c r="M155" s="37"/>
      <c r="N155" s="37"/>
      <c r="O155" s="37">
        <f t="shared" si="20"/>
        <v>0</v>
      </c>
      <c r="P155" s="34"/>
    </row>
    <row r="156" spans="1:16">
      <c r="A156" s="32">
        <v>155</v>
      </c>
      <c r="B156" s="33" t="s">
        <v>784</v>
      </c>
      <c r="C156" s="34" t="s">
        <v>317</v>
      </c>
      <c r="D156" s="34" t="s">
        <v>795</v>
      </c>
      <c r="E156" s="34" t="s">
        <v>1014</v>
      </c>
      <c r="F156" s="35">
        <v>45568</v>
      </c>
      <c r="G156" s="35">
        <f t="shared" ref="G156:G177" si="23">F156</f>
        <v>45568</v>
      </c>
      <c r="H156" s="34"/>
      <c r="I156" s="48" t="s">
        <v>1015</v>
      </c>
      <c r="J156" s="51" t="s">
        <v>792</v>
      </c>
      <c r="K156" s="34"/>
      <c r="L156" s="34"/>
      <c r="M156" s="37">
        <v>190524</v>
      </c>
      <c r="N156" s="37">
        <f t="shared" si="18"/>
        <v>34294.32</v>
      </c>
      <c r="O156" s="37">
        <f t="shared" si="20"/>
        <v>224818.32</v>
      </c>
      <c r="P156" s="34"/>
    </row>
    <row r="157" spans="1:16">
      <c r="A157" s="32">
        <v>156</v>
      </c>
      <c r="B157" s="33" t="s">
        <v>784</v>
      </c>
      <c r="C157" s="34" t="s">
        <v>317</v>
      </c>
      <c r="D157" s="34" t="s">
        <v>795</v>
      </c>
      <c r="E157" s="34" t="s">
        <v>1016</v>
      </c>
      <c r="F157" s="35">
        <v>45568</v>
      </c>
      <c r="G157" s="35">
        <f t="shared" si="23"/>
        <v>45568</v>
      </c>
      <c r="H157" s="34"/>
      <c r="I157" s="48" t="s">
        <v>426</v>
      </c>
      <c r="J157" s="48" t="s">
        <v>792</v>
      </c>
      <c r="K157" s="34"/>
      <c r="L157" s="34"/>
      <c r="M157" s="37">
        <v>190524</v>
      </c>
      <c r="N157" s="37">
        <f t="shared" si="18"/>
        <v>34294.32</v>
      </c>
      <c r="O157" s="37">
        <f t="shared" si="20"/>
        <v>224818.32</v>
      </c>
      <c r="P157" s="34"/>
    </row>
    <row r="158" spans="1:16">
      <c r="A158" s="32">
        <v>157</v>
      </c>
      <c r="B158" s="33" t="s">
        <v>784</v>
      </c>
      <c r="C158" s="34" t="s">
        <v>630</v>
      </c>
      <c r="D158" s="34" t="s">
        <v>795</v>
      </c>
      <c r="E158" s="34" t="s">
        <v>1016</v>
      </c>
      <c r="F158" s="35">
        <v>45568</v>
      </c>
      <c r="G158" s="35">
        <f t="shared" si="23"/>
        <v>45568</v>
      </c>
      <c r="H158" s="34"/>
      <c r="I158" s="48" t="s">
        <v>1017</v>
      </c>
      <c r="J158" s="48" t="s">
        <v>792</v>
      </c>
      <c r="K158" s="34"/>
      <c r="L158" s="34"/>
      <c r="M158" s="37">
        <v>34134</v>
      </c>
      <c r="N158" s="37">
        <f t="shared" si="18"/>
        <v>6144.12</v>
      </c>
      <c r="O158" s="37">
        <f t="shared" si="20"/>
        <v>40278.120000000003</v>
      </c>
      <c r="P158" s="34"/>
    </row>
    <row r="159" spans="1:16">
      <c r="A159" s="32">
        <v>158</v>
      </c>
      <c r="B159" s="33" t="s">
        <v>784</v>
      </c>
      <c r="C159" s="34" t="s">
        <v>630</v>
      </c>
      <c r="D159" s="34" t="s">
        <v>795</v>
      </c>
      <c r="E159" s="34" t="s">
        <v>1016</v>
      </c>
      <c r="F159" s="35">
        <v>45568</v>
      </c>
      <c r="G159" s="35">
        <f t="shared" si="23"/>
        <v>45568</v>
      </c>
      <c r="H159" s="34"/>
      <c r="I159" s="48" t="s">
        <v>1018</v>
      </c>
      <c r="J159" s="48" t="s">
        <v>792</v>
      </c>
      <c r="K159" s="34"/>
      <c r="L159" s="34"/>
      <c r="M159" s="37"/>
      <c r="N159" s="37"/>
      <c r="O159" s="37">
        <f t="shared" si="20"/>
        <v>0</v>
      </c>
      <c r="P159" s="34"/>
    </row>
    <row r="160" spans="1:16">
      <c r="A160" s="32">
        <v>159</v>
      </c>
      <c r="B160" s="33" t="s">
        <v>784</v>
      </c>
      <c r="C160" s="34" t="s">
        <v>317</v>
      </c>
      <c r="D160" s="34" t="s">
        <v>795</v>
      </c>
      <c r="E160" s="34" t="s">
        <v>1019</v>
      </c>
      <c r="F160" s="35">
        <v>45568</v>
      </c>
      <c r="G160" s="35">
        <f t="shared" si="23"/>
        <v>45568</v>
      </c>
      <c r="H160" s="34"/>
      <c r="I160" s="48" t="s">
        <v>1020</v>
      </c>
      <c r="J160" s="48"/>
      <c r="K160" s="34"/>
      <c r="L160" s="34"/>
      <c r="M160" s="37">
        <v>190524</v>
      </c>
      <c r="N160" s="37">
        <f t="shared" si="18"/>
        <v>34294.32</v>
      </c>
      <c r="O160" s="37">
        <f t="shared" si="20"/>
        <v>224818.32</v>
      </c>
      <c r="P160" s="34"/>
    </row>
    <row r="161" spans="1:16">
      <c r="A161" s="32">
        <v>160</v>
      </c>
      <c r="B161" s="33" t="s">
        <v>784</v>
      </c>
      <c r="C161" s="34" t="s">
        <v>630</v>
      </c>
      <c r="D161" s="34" t="s">
        <v>795</v>
      </c>
      <c r="E161" s="34" t="s">
        <v>1019</v>
      </c>
      <c r="F161" s="35">
        <v>45568</v>
      </c>
      <c r="G161" s="35">
        <f t="shared" si="23"/>
        <v>45568</v>
      </c>
      <c r="H161" s="34"/>
      <c r="I161" s="48" t="s">
        <v>1021</v>
      </c>
      <c r="J161" s="48" t="s">
        <v>792</v>
      </c>
      <c r="K161" s="34"/>
      <c r="L161" s="34"/>
      <c r="M161" s="37">
        <v>17067</v>
      </c>
      <c r="N161" s="37">
        <f t="shared" si="18"/>
        <v>3072.06</v>
      </c>
      <c r="O161" s="37">
        <f t="shared" si="20"/>
        <v>20139.060000000001</v>
      </c>
      <c r="P161" s="34"/>
    </row>
    <row r="162" spans="1:16">
      <c r="A162" s="32">
        <v>161</v>
      </c>
      <c r="B162" s="33" t="s">
        <v>784</v>
      </c>
      <c r="C162" s="34" t="s">
        <v>317</v>
      </c>
      <c r="D162" s="34" t="s">
        <v>795</v>
      </c>
      <c r="E162" s="34" t="s">
        <v>1022</v>
      </c>
      <c r="F162" s="35">
        <v>45568</v>
      </c>
      <c r="G162" s="35">
        <f t="shared" si="23"/>
        <v>45568</v>
      </c>
      <c r="H162" s="34"/>
      <c r="I162" s="48" t="s">
        <v>1023</v>
      </c>
      <c r="J162" s="48" t="s">
        <v>792</v>
      </c>
      <c r="K162" s="34"/>
      <c r="L162" s="34"/>
      <c r="M162" s="37">
        <v>190524</v>
      </c>
      <c r="N162" s="37">
        <f t="shared" si="18"/>
        <v>34294.32</v>
      </c>
      <c r="O162" s="37">
        <f t="shared" si="20"/>
        <v>224818.32</v>
      </c>
      <c r="P162" s="34"/>
    </row>
    <row r="163" spans="1:16">
      <c r="A163" s="32">
        <v>162</v>
      </c>
      <c r="B163" s="33" t="s">
        <v>784</v>
      </c>
      <c r="C163" s="34" t="s">
        <v>630</v>
      </c>
      <c r="D163" s="34" t="s">
        <v>795</v>
      </c>
      <c r="E163" s="34" t="s">
        <v>1022</v>
      </c>
      <c r="F163" s="35">
        <v>45568</v>
      </c>
      <c r="G163" s="35">
        <f t="shared" si="23"/>
        <v>45568</v>
      </c>
      <c r="H163" s="34"/>
      <c r="I163" s="48" t="s">
        <v>1024</v>
      </c>
      <c r="J163" s="48" t="s">
        <v>792</v>
      </c>
      <c r="K163" s="34"/>
      <c r="L163" s="34"/>
      <c r="M163" s="37">
        <v>34134</v>
      </c>
      <c r="N163" s="37">
        <f t="shared" si="18"/>
        <v>6144.12</v>
      </c>
      <c r="O163" s="37">
        <f t="shared" si="20"/>
        <v>40278.120000000003</v>
      </c>
      <c r="P163" s="34"/>
    </row>
    <row r="164" spans="1:16">
      <c r="A164" s="32">
        <v>163</v>
      </c>
      <c r="B164" s="33" t="s">
        <v>784</v>
      </c>
      <c r="C164" s="34" t="s">
        <v>630</v>
      </c>
      <c r="D164" s="34" t="s">
        <v>795</v>
      </c>
      <c r="E164" s="34" t="s">
        <v>1022</v>
      </c>
      <c r="F164" s="35">
        <v>45568</v>
      </c>
      <c r="G164" s="35">
        <f t="shared" si="23"/>
        <v>45568</v>
      </c>
      <c r="H164" s="34"/>
      <c r="I164" s="48" t="s">
        <v>1025</v>
      </c>
      <c r="J164" s="48" t="s">
        <v>792</v>
      </c>
      <c r="K164" s="34"/>
      <c r="L164" s="34"/>
      <c r="M164" s="37"/>
      <c r="N164" s="37"/>
      <c r="O164" s="37">
        <f t="shared" si="20"/>
        <v>0</v>
      </c>
      <c r="P164" s="34"/>
    </row>
    <row r="165" spans="1:16">
      <c r="A165" s="32">
        <v>164</v>
      </c>
      <c r="B165" s="33" t="s">
        <v>784</v>
      </c>
      <c r="C165" s="34" t="s">
        <v>317</v>
      </c>
      <c r="D165" s="34" t="s">
        <v>795</v>
      </c>
      <c r="E165" s="34" t="s">
        <v>1026</v>
      </c>
      <c r="F165" s="35">
        <v>45568</v>
      </c>
      <c r="G165" s="35">
        <f t="shared" si="23"/>
        <v>45568</v>
      </c>
      <c r="H165" s="34"/>
      <c r="I165" s="48" t="s">
        <v>1027</v>
      </c>
      <c r="J165" s="48" t="s">
        <v>792</v>
      </c>
      <c r="K165" s="34"/>
      <c r="L165" s="34"/>
      <c r="M165" s="37">
        <v>190524</v>
      </c>
      <c r="N165" s="37">
        <f t="shared" si="18"/>
        <v>34294.32</v>
      </c>
      <c r="O165" s="37">
        <f t="shared" si="20"/>
        <v>224818.32</v>
      </c>
      <c r="P165" s="34"/>
    </row>
    <row r="166" spans="1:16">
      <c r="A166" s="32">
        <v>165</v>
      </c>
      <c r="B166" s="33" t="s">
        <v>784</v>
      </c>
      <c r="C166" s="34" t="s">
        <v>630</v>
      </c>
      <c r="D166" s="34" t="s">
        <v>795</v>
      </c>
      <c r="E166" s="34" t="s">
        <v>1026</v>
      </c>
      <c r="F166" s="35">
        <v>45568</v>
      </c>
      <c r="G166" s="35">
        <f t="shared" si="23"/>
        <v>45568</v>
      </c>
      <c r="H166" s="34"/>
      <c r="I166" s="48" t="s">
        <v>545</v>
      </c>
      <c r="J166" s="48" t="s">
        <v>792</v>
      </c>
      <c r="K166" s="34"/>
      <c r="L166" s="34"/>
      <c r="M166" s="37">
        <v>34134</v>
      </c>
      <c r="N166" s="37">
        <f t="shared" si="18"/>
        <v>6144.12</v>
      </c>
      <c r="O166" s="37">
        <f t="shared" si="20"/>
        <v>40278.120000000003</v>
      </c>
      <c r="P166" s="34"/>
    </row>
    <row r="167" spans="1:16">
      <c r="A167" s="32">
        <v>166</v>
      </c>
      <c r="B167" s="33" t="s">
        <v>784</v>
      </c>
      <c r="C167" s="34" t="s">
        <v>630</v>
      </c>
      <c r="D167" s="34" t="s">
        <v>795</v>
      </c>
      <c r="E167" s="34" t="s">
        <v>1026</v>
      </c>
      <c r="F167" s="35">
        <v>45568</v>
      </c>
      <c r="G167" s="35">
        <f t="shared" si="23"/>
        <v>45568</v>
      </c>
      <c r="H167" s="34"/>
      <c r="I167" s="48" t="s">
        <v>1028</v>
      </c>
      <c r="J167" s="48" t="s">
        <v>792</v>
      </c>
      <c r="K167" s="34"/>
      <c r="L167" s="34"/>
      <c r="M167" s="37"/>
      <c r="N167" s="37"/>
      <c r="O167" s="37">
        <f t="shared" si="20"/>
        <v>0</v>
      </c>
      <c r="P167" s="34"/>
    </row>
    <row r="168" spans="1:16">
      <c r="A168" s="32">
        <v>167</v>
      </c>
      <c r="B168" s="33" t="s">
        <v>784</v>
      </c>
      <c r="C168" s="34" t="s">
        <v>630</v>
      </c>
      <c r="D168" s="34" t="s">
        <v>795</v>
      </c>
      <c r="E168" s="34" t="s">
        <v>1029</v>
      </c>
      <c r="F168" s="35">
        <v>45579</v>
      </c>
      <c r="G168" s="35">
        <f t="shared" si="23"/>
        <v>45579</v>
      </c>
      <c r="H168" s="34"/>
      <c r="I168" s="48" t="s">
        <v>1030</v>
      </c>
      <c r="J168" s="48" t="s">
        <v>792</v>
      </c>
      <c r="K168" s="34"/>
      <c r="L168" s="34"/>
      <c r="M168" s="37">
        <v>17067</v>
      </c>
      <c r="N168" s="37">
        <f t="shared" si="18"/>
        <v>3072.06</v>
      </c>
      <c r="O168" s="37">
        <f t="shared" si="20"/>
        <v>20139.060000000001</v>
      </c>
      <c r="P168" s="34"/>
    </row>
    <row r="169" spans="1:16">
      <c r="A169" s="32">
        <v>168</v>
      </c>
      <c r="B169" s="33" t="s">
        <v>784</v>
      </c>
      <c r="C169" s="34" t="s">
        <v>317</v>
      </c>
      <c r="D169" s="34" t="s">
        <v>795</v>
      </c>
      <c r="E169" s="34" t="s">
        <v>1031</v>
      </c>
      <c r="F169" s="35">
        <v>45579</v>
      </c>
      <c r="G169" s="35">
        <f t="shared" si="23"/>
        <v>45579</v>
      </c>
      <c r="H169" s="34"/>
      <c r="I169" s="48" t="s">
        <v>1032</v>
      </c>
      <c r="J169" s="48"/>
      <c r="K169" s="34"/>
      <c r="L169" s="34"/>
      <c r="M169" s="37">
        <v>190524</v>
      </c>
      <c r="N169" s="37">
        <f t="shared" si="18"/>
        <v>34294.32</v>
      </c>
      <c r="O169" s="37">
        <f t="shared" si="20"/>
        <v>224818.32</v>
      </c>
      <c r="P169" s="34"/>
    </row>
    <row r="170" spans="1:16">
      <c r="A170" s="32">
        <v>169</v>
      </c>
      <c r="B170" s="33" t="s">
        <v>784</v>
      </c>
      <c r="C170" s="34" t="s">
        <v>630</v>
      </c>
      <c r="D170" s="34" t="s">
        <v>795</v>
      </c>
      <c r="E170" s="34" t="s">
        <v>1031</v>
      </c>
      <c r="F170" s="35">
        <v>45579</v>
      </c>
      <c r="G170" s="35">
        <f t="shared" si="23"/>
        <v>45579</v>
      </c>
      <c r="H170" s="34"/>
      <c r="I170" s="48" t="s">
        <v>1033</v>
      </c>
      <c r="J170" s="48"/>
      <c r="K170" s="34"/>
      <c r="L170" s="34"/>
      <c r="M170" s="37">
        <v>34134</v>
      </c>
      <c r="N170" s="37">
        <f t="shared" si="18"/>
        <v>6144.12</v>
      </c>
      <c r="O170" s="37">
        <f t="shared" si="20"/>
        <v>40278.120000000003</v>
      </c>
      <c r="P170" s="34"/>
    </row>
    <row r="171" spans="1:16">
      <c r="A171" s="32">
        <v>170</v>
      </c>
      <c r="B171" s="33" t="s">
        <v>784</v>
      </c>
      <c r="C171" s="34" t="s">
        <v>630</v>
      </c>
      <c r="D171" s="34" t="s">
        <v>795</v>
      </c>
      <c r="E171" s="34" t="s">
        <v>1031</v>
      </c>
      <c r="F171" s="35">
        <v>45579</v>
      </c>
      <c r="G171" s="35">
        <f t="shared" si="23"/>
        <v>45579</v>
      </c>
      <c r="H171" s="34"/>
      <c r="I171" s="48" t="s">
        <v>1034</v>
      </c>
      <c r="J171" s="48"/>
      <c r="K171" s="34"/>
      <c r="L171" s="34"/>
      <c r="M171" s="37"/>
      <c r="N171" s="37"/>
      <c r="O171" s="37">
        <f t="shared" si="20"/>
        <v>0</v>
      </c>
      <c r="P171" s="34"/>
    </row>
    <row r="172" spans="1:16">
      <c r="A172" s="32">
        <v>171</v>
      </c>
      <c r="B172" s="33" t="s">
        <v>784</v>
      </c>
      <c r="C172" s="34" t="s">
        <v>630</v>
      </c>
      <c r="D172" s="34" t="s">
        <v>795</v>
      </c>
      <c r="E172" s="34" t="s">
        <v>1035</v>
      </c>
      <c r="F172" s="35">
        <v>45580</v>
      </c>
      <c r="G172" s="35">
        <f t="shared" si="23"/>
        <v>45580</v>
      </c>
      <c r="H172" s="34"/>
      <c r="I172" s="48" t="s">
        <v>1036</v>
      </c>
      <c r="J172" s="48"/>
      <c r="K172" s="34"/>
      <c r="L172" s="34"/>
      <c r="M172" s="37">
        <v>53598</v>
      </c>
      <c r="N172" s="37">
        <f t="shared" si="18"/>
        <v>9647.64</v>
      </c>
      <c r="O172" s="37">
        <f t="shared" si="20"/>
        <v>63245.64</v>
      </c>
      <c r="P172" s="34"/>
    </row>
    <row r="173" spans="1:16">
      <c r="A173" s="32">
        <v>172</v>
      </c>
      <c r="B173" s="33" t="s">
        <v>784</v>
      </c>
      <c r="C173" s="34" t="s">
        <v>630</v>
      </c>
      <c r="D173" s="34" t="s">
        <v>795</v>
      </c>
      <c r="E173" s="34" t="s">
        <v>1035</v>
      </c>
      <c r="F173" s="35">
        <v>45580</v>
      </c>
      <c r="G173" s="35">
        <f t="shared" si="23"/>
        <v>45580</v>
      </c>
      <c r="H173" s="34"/>
      <c r="I173" s="48" t="s">
        <v>1037</v>
      </c>
      <c r="J173" s="48"/>
      <c r="K173" s="34"/>
      <c r="L173" s="34"/>
      <c r="M173" s="37"/>
      <c r="N173" s="37"/>
      <c r="O173" s="37">
        <f t="shared" si="20"/>
        <v>0</v>
      </c>
      <c r="P173" s="34"/>
    </row>
    <row r="174" spans="1:16">
      <c r="A174" s="32">
        <v>173</v>
      </c>
      <c r="B174" s="33" t="s">
        <v>784</v>
      </c>
      <c r="C174" s="34" t="s">
        <v>317</v>
      </c>
      <c r="D174" s="34" t="s">
        <v>795</v>
      </c>
      <c r="E174" s="34" t="s">
        <v>1038</v>
      </c>
      <c r="F174" s="35">
        <v>45583</v>
      </c>
      <c r="G174" s="35">
        <f t="shared" si="23"/>
        <v>45583</v>
      </c>
      <c r="H174" s="34"/>
      <c r="I174" s="48" t="s">
        <v>471</v>
      </c>
      <c r="J174" s="48" t="s">
        <v>792</v>
      </c>
      <c r="K174" s="34"/>
      <c r="L174" s="34"/>
      <c r="M174" s="37">
        <v>82000</v>
      </c>
      <c r="N174" s="37">
        <f t="shared" si="18"/>
        <v>14760</v>
      </c>
      <c r="O174" s="37">
        <f t="shared" si="20"/>
        <v>96760</v>
      </c>
      <c r="P174" s="34"/>
    </row>
    <row r="175" spans="1:16">
      <c r="A175" s="32">
        <v>174</v>
      </c>
      <c r="B175" s="33" t="s">
        <v>784</v>
      </c>
      <c r="C175" s="34" t="s">
        <v>630</v>
      </c>
      <c r="D175" s="34" t="s">
        <v>795</v>
      </c>
      <c r="E175" s="34" t="s">
        <v>1038</v>
      </c>
      <c r="F175" s="35">
        <v>45583</v>
      </c>
      <c r="G175" s="35">
        <f t="shared" si="23"/>
        <v>45583</v>
      </c>
      <c r="H175" s="34"/>
      <c r="I175" s="36" t="s">
        <v>404</v>
      </c>
      <c r="J175" s="48"/>
      <c r="K175" s="34"/>
      <c r="L175" s="34"/>
      <c r="M175" s="37">
        <v>34134</v>
      </c>
      <c r="N175" s="37">
        <f t="shared" si="18"/>
        <v>6144.12</v>
      </c>
      <c r="O175" s="37">
        <f t="shared" si="20"/>
        <v>40278.120000000003</v>
      </c>
      <c r="P175" s="34"/>
    </row>
    <row r="176" spans="1:16">
      <c r="A176" s="32">
        <v>175</v>
      </c>
      <c r="B176" s="33" t="s">
        <v>784</v>
      </c>
      <c r="C176" s="34" t="s">
        <v>630</v>
      </c>
      <c r="D176" s="34" t="s">
        <v>795</v>
      </c>
      <c r="E176" s="34" t="s">
        <v>1038</v>
      </c>
      <c r="F176" s="35">
        <v>45583</v>
      </c>
      <c r="G176" s="35">
        <f t="shared" si="23"/>
        <v>45583</v>
      </c>
      <c r="H176" s="34"/>
      <c r="I176" s="48" t="s">
        <v>1039</v>
      </c>
      <c r="J176" s="48"/>
      <c r="K176" s="34"/>
      <c r="L176" s="34"/>
      <c r="M176" s="37"/>
      <c r="N176" s="37"/>
      <c r="O176" s="37">
        <f t="shared" si="20"/>
        <v>0</v>
      </c>
      <c r="P176" s="34"/>
    </row>
    <row r="177" spans="1:16">
      <c r="A177" s="32">
        <v>176</v>
      </c>
      <c r="B177" s="33" t="s">
        <v>784</v>
      </c>
      <c r="C177" s="34" t="s">
        <v>317</v>
      </c>
      <c r="D177" s="34" t="s">
        <v>795</v>
      </c>
      <c r="E177" s="34" t="s">
        <v>1040</v>
      </c>
      <c r="F177" s="35">
        <v>45593</v>
      </c>
      <c r="G177" s="35">
        <f t="shared" si="23"/>
        <v>45593</v>
      </c>
      <c r="H177" s="34"/>
      <c r="I177" s="48" t="s">
        <v>1041</v>
      </c>
      <c r="J177" s="48"/>
      <c r="K177" s="34"/>
      <c r="L177" s="34"/>
      <c r="M177" s="37">
        <v>190524</v>
      </c>
      <c r="N177" s="37">
        <f t="shared" si="18"/>
        <v>34294.32</v>
      </c>
      <c r="O177" s="37">
        <f t="shared" si="20"/>
        <v>224818.32</v>
      </c>
      <c r="P177" s="34"/>
    </row>
    <row r="178" spans="1:16">
      <c r="A178" s="32">
        <v>177</v>
      </c>
      <c r="B178" s="33" t="s">
        <v>784</v>
      </c>
      <c r="C178" s="34" t="s">
        <v>317</v>
      </c>
      <c r="D178" s="34" t="s">
        <v>795</v>
      </c>
      <c r="E178" s="34" t="s">
        <v>1042</v>
      </c>
      <c r="F178" s="35">
        <v>45597</v>
      </c>
      <c r="G178" s="35">
        <v>45588</v>
      </c>
      <c r="H178" s="34"/>
      <c r="I178" s="48" t="s">
        <v>538</v>
      </c>
      <c r="J178" s="36"/>
      <c r="K178" s="34"/>
      <c r="L178" s="34"/>
      <c r="M178" s="37">
        <v>190524</v>
      </c>
      <c r="N178" s="37">
        <f t="shared" si="18"/>
        <v>34294.32</v>
      </c>
      <c r="O178" s="37">
        <f t="shared" si="20"/>
        <v>224818.32</v>
      </c>
      <c r="P178" s="34"/>
    </row>
    <row r="179" spans="1:16">
      <c r="A179" s="32">
        <v>178</v>
      </c>
      <c r="B179" s="33" t="s">
        <v>784</v>
      </c>
      <c r="C179" s="34" t="s">
        <v>630</v>
      </c>
      <c r="D179" s="34" t="s">
        <v>795</v>
      </c>
      <c r="E179" s="34" t="s">
        <v>1042</v>
      </c>
      <c r="F179" s="35">
        <v>45597</v>
      </c>
      <c r="G179" s="35">
        <f>F179</f>
        <v>45597</v>
      </c>
      <c r="H179" s="34"/>
      <c r="I179" s="48" t="s">
        <v>1043</v>
      </c>
      <c r="J179" s="48"/>
      <c r="K179" s="34"/>
      <c r="L179" s="34"/>
      <c r="M179" s="37">
        <v>34134</v>
      </c>
      <c r="N179" s="37">
        <f t="shared" si="18"/>
        <v>6144.12</v>
      </c>
      <c r="O179" s="37">
        <f t="shared" si="20"/>
        <v>40278.120000000003</v>
      </c>
      <c r="P179" s="34"/>
    </row>
    <row r="180" spans="1:16">
      <c r="A180" s="32">
        <v>179</v>
      </c>
      <c r="B180" s="33" t="s">
        <v>784</v>
      </c>
      <c r="C180" s="34" t="s">
        <v>630</v>
      </c>
      <c r="D180" s="34" t="s">
        <v>795</v>
      </c>
      <c r="E180" s="34" t="s">
        <v>1042</v>
      </c>
      <c r="F180" s="35">
        <v>45597</v>
      </c>
      <c r="G180" s="35">
        <f>F180</f>
        <v>45597</v>
      </c>
      <c r="H180" s="34"/>
      <c r="I180" s="48" t="s">
        <v>1044</v>
      </c>
      <c r="J180" s="48"/>
      <c r="K180" s="34"/>
      <c r="L180" s="34"/>
      <c r="M180" s="37"/>
      <c r="N180" s="37"/>
      <c r="O180" s="37">
        <f t="shared" si="20"/>
        <v>0</v>
      </c>
      <c r="P180" s="34"/>
    </row>
    <row r="181" spans="1:16">
      <c r="A181" s="32">
        <v>180</v>
      </c>
      <c r="B181" s="33" t="s">
        <v>784</v>
      </c>
      <c r="C181" s="34" t="s">
        <v>317</v>
      </c>
      <c r="D181" s="34" t="s">
        <v>795</v>
      </c>
      <c r="E181" s="34" t="s">
        <v>1045</v>
      </c>
      <c r="F181" s="35">
        <v>45601</v>
      </c>
      <c r="G181" s="35">
        <f>F181</f>
        <v>45601</v>
      </c>
      <c r="H181" s="34"/>
      <c r="I181" s="48" t="s">
        <v>346</v>
      </c>
      <c r="J181" s="48"/>
      <c r="K181" s="34"/>
      <c r="L181" s="34"/>
      <c r="M181" s="37">
        <v>190524</v>
      </c>
      <c r="N181" s="37">
        <f t="shared" si="18"/>
        <v>34294.32</v>
      </c>
      <c r="O181" s="37">
        <f t="shared" si="20"/>
        <v>224818.32</v>
      </c>
      <c r="P181" s="34"/>
    </row>
    <row r="182" spans="1:16">
      <c r="A182" s="32">
        <v>181</v>
      </c>
      <c r="B182" s="33" t="s">
        <v>784</v>
      </c>
      <c r="C182" s="34" t="s">
        <v>630</v>
      </c>
      <c r="D182" s="34" t="s">
        <v>795</v>
      </c>
      <c r="E182" s="34" t="s">
        <v>1045</v>
      </c>
      <c r="F182" s="35">
        <v>45601</v>
      </c>
      <c r="G182" s="35">
        <f t="shared" ref="G182:G199" si="24">F182</f>
        <v>45601</v>
      </c>
      <c r="H182" s="34"/>
      <c r="I182" s="48" t="s">
        <v>1046</v>
      </c>
      <c r="J182" s="48"/>
      <c r="K182" s="34"/>
      <c r="L182" s="34"/>
      <c r="M182" s="37">
        <v>34134</v>
      </c>
      <c r="N182" s="37">
        <f t="shared" si="18"/>
        <v>6144.12</v>
      </c>
      <c r="O182" s="37">
        <f t="shared" si="20"/>
        <v>40278.120000000003</v>
      </c>
      <c r="P182" s="34"/>
    </row>
    <row r="183" spans="1:16">
      <c r="A183" s="32">
        <v>182</v>
      </c>
      <c r="B183" s="33" t="s">
        <v>784</v>
      </c>
      <c r="C183" s="34" t="s">
        <v>630</v>
      </c>
      <c r="D183" s="34" t="s">
        <v>795</v>
      </c>
      <c r="E183" s="34" t="s">
        <v>1045</v>
      </c>
      <c r="F183" s="35">
        <v>45601</v>
      </c>
      <c r="G183" s="35">
        <f t="shared" si="24"/>
        <v>45601</v>
      </c>
      <c r="H183" s="34"/>
      <c r="I183" s="48" t="s">
        <v>380</v>
      </c>
      <c r="J183" s="48"/>
      <c r="K183" s="34"/>
      <c r="L183" s="34"/>
      <c r="M183" s="37"/>
      <c r="N183" s="37"/>
      <c r="O183" s="37">
        <f t="shared" si="20"/>
        <v>0</v>
      </c>
      <c r="P183" s="34"/>
    </row>
    <row r="184" spans="1:16">
      <c r="A184" s="32">
        <v>183</v>
      </c>
      <c r="B184" s="33" t="s">
        <v>784</v>
      </c>
      <c r="C184" s="34" t="s">
        <v>317</v>
      </c>
      <c r="D184" s="34" t="s">
        <v>795</v>
      </c>
      <c r="E184" s="34" t="s">
        <v>1047</v>
      </c>
      <c r="F184" s="35">
        <v>45601</v>
      </c>
      <c r="G184" s="35">
        <f t="shared" si="24"/>
        <v>45601</v>
      </c>
      <c r="H184" s="34"/>
      <c r="I184" s="48" t="s">
        <v>1048</v>
      </c>
      <c r="J184" s="48"/>
      <c r="K184" s="34"/>
      <c r="L184" s="34"/>
      <c r="M184" s="37">
        <v>190524</v>
      </c>
      <c r="N184" s="37">
        <f t="shared" si="18"/>
        <v>34294.32</v>
      </c>
      <c r="O184" s="37">
        <f t="shared" si="20"/>
        <v>224818.32</v>
      </c>
      <c r="P184" s="34"/>
    </row>
    <row r="185" spans="1:16">
      <c r="A185" s="32">
        <v>184</v>
      </c>
      <c r="B185" s="33" t="s">
        <v>784</v>
      </c>
      <c r="C185" s="34" t="s">
        <v>630</v>
      </c>
      <c r="D185" s="34" t="s">
        <v>795</v>
      </c>
      <c r="E185" s="34" t="s">
        <v>1047</v>
      </c>
      <c r="F185" s="35">
        <v>45601</v>
      </c>
      <c r="G185" s="35">
        <f t="shared" si="24"/>
        <v>45601</v>
      </c>
      <c r="H185" s="34"/>
      <c r="I185" s="48" t="s">
        <v>567</v>
      </c>
      <c r="J185" s="48" t="s">
        <v>792</v>
      </c>
      <c r="K185" s="34"/>
      <c r="L185" s="34"/>
      <c r="M185" s="37">
        <v>17067</v>
      </c>
      <c r="N185" s="37">
        <f t="shared" si="18"/>
        <v>3072.06</v>
      </c>
      <c r="O185" s="37">
        <f t="shared" si="20"/>
        <v>20139.060000000001</v>
      </c>
      <c r="P185" s="34"/>
    </row>
    <row r="186" spans="1:16">
      <c r="A186" s="32">
        <v>185</v>
      </c>
      <c r="B186" s="33" t="s">
        <v>784</v>
      </c>
      <c r="C186" s="34" t="s">
        <v>317</v>
      </c>
      <c r="D186" s="34" t="s">
        <v>795</v>
      </c>
      <c r="E186" s="34" t="s">
        <v>1049</v>
      </c>
      <c r="F186" s="35">
        <v>45602</v>
      </c>
      <c r="G186" s="35">
        <f t="shared" si="24"/>
        <v>45602</v>
      </c>
      <c r="H186" s="34"/>
      <c r="I186" s="48" t="s">
        <v>1050</v>
      </c>
      <c r="J186" s="48"/>
      <c r="K186" s="34"/>
      <c r="L186" s="34"/>
      <c r="M186" s="37">
        <v>222100</v>
      </c>
      <c r="N186" s="37">
        <f t="shared" si="18"/>
        <v>39978</v>
      </c>
      <c r="O186" s="37">
        <f t="shared" si="20"/>
        <v>262078</v>
      </c>
      <c r="P186" s="34"/>
    </row>
    <row r="187" spans="1:16">
      <c r="A187" s="32">
        <v>186</v>
      </c>
      <c r="B187" s="33" t="s">
        <v>784</v>
      </c>
      <c r="C187" s="34" t="s">
        <v>630</v>
      </c>
      <c r="D187" s="34" t="s">
        <v>795</v>
      </c>
      <c r="E187" s="34" t="s">
        <v>1049</v>
      </c>
      <c r="F187" s="35">
        <v>45602</v>
      </c>
      <c r="G187" s="35">
        <f t="shared" si="24"/>
        <v>45602</v>
      </c>
      <c r="H187" s="34"/>
      <c r="I187" s="48" t="s">
        <v>1051</v>
      </c>
      <c r="J187" s="48" t="s">
        <v>792</v>
      </c>
      <c r="K187" s="34"/>
      <c r="L187" s="34"/>
      <c r="M187" s="37">
        <v>168000</v>
      </c>
      <c r="N187" s="37">
        <f t="shared" si="18"/>
        <v>30240</v>
      </c>
      <c r="O187" s="37">
        <f t="shared" si="20"/>
        <v>198240</v>
      </c>
      <c r="P187" s="34"/>
    </row>
    <row r="188" spans="1:16">
      <c r="A188" s="32">
        <v>187</v>
      </c>
      <c r="B188" s="33" t="s">
        <v>784</v>
      </c>
      <c r="C188" s="34" t="s">
        <v>317</v>
      </c>
      <c r="D188" s="34" t="s">
        <v>795</v>
      </c>
      <c r="E188" s="34" t="s">
        <v>1052</v>
      </c>
      <c r="F188" s="35">
        <v>45604</v>
      </c>
      <c r="G188" s="35">
        <f t="shared" si="24"/>
        <v>45604</v>
      </c>
      <c r="H188" s="34"/>
      <c r="I188" s="48" t="s">
        <v>1053</v>
      </c>
      <c r="J188" s="48"/>
      <c r="K188" s="34"/>
      <c r="L188" s="34"/>
      <c r="M188" s="37">
        <v>190524</v>
      </c>
      <c r="N188" s="37">
        <f t="shared" ref="N188:N210" si="25">M188*18%</f>
        <v>34294.32</v>
      </c>
      <c r="O188" s="37">
        <f t="shared" si="20"/>
        <v>224818.32</v>
      </c>
      <c r="P188" s="34"/>
    </row>
    <row r="189" spans="1:16">
      <c r="A189" s="32">
        <v>188</v>
      </c>
      <c r="B189" s="33" t="s">
        <v>784</v>
      </c>
      <c r="C189" s="34" t="s">
        <v>630</v>
      </c>
      <c r="D189" s="34" t="s">
        <v>795</v>
      </c>
      <c r="E189" s="34" t="s">
        <v>1052</v>
      </c>
      <c r="F189" s="35">
        <v>45604</v>
      </c>
      <c r="G189" s="35">
        <f t="shared" si="24"/>
        <v>45604</v>
      </c>
      <c r="H189" s="34"/>
      <c r="I189" s="48" t="s">
        <v>517</v>
      </c>
      <c r="J189" s="48" t="s">
        <v>792</v>
      </c>
      <c r="K189" s="34"/>
      <c r="L189" s="34"/>
      <c r="M189" s="37">
        <v>17067</v>
      </c>
      <c r="N189" s="37">
        <f t="shared" si="25"/>
        <v>3072.06</v>
      </c>
      <c r="O189" s="37">
        <f t="shared" si="20"/>
        <v>20139.060000000001</v>
      </c>
      <c r="P189" s="34"/>
    </row>
    <row r="190" spans="1:16">
      <c r="A190" s="32">
        <v>189</v>
      </c>
      <c r="B190" s="33" t="s">
        <v>784</v>
      </c>
      <c r="C190" s="34" t="s">
        <v>317</v>
      </c>
      <c r="D190" s="34" t="s">
        <v>795</v>
      </c>
      <c r="E190" s="34" t="s">
        <v>1054</v>
      </c>
      <c r="F190" s="35">
        <v>45619</v>
      </c>
      <c r="G190" s="35">
        <f t="shared" si="24"/>
        <v>45619</v>
      </c>
      <c r="H190" s="34"/>
      <c r="I190" s="48" t="s">
        <v>1055</v>
      </c>
      <c r="J190" s="48" t="s">
        <v>852</v>
      </c>
      <c r="K190" s="34"/>
      <c r="L190" s="34"/>
      <c r="M190" s="37">
        <v>137830</v>
      </c>
      <c r="N190" s="37">
        <f t="shared" si="25"/>
        <v>24809.399999999998</v>
      </c>
      <c r="O190" s="37">
        <f t="shared" si="20"/>
        <v>162639.4</v>
      </c>
      <c r="P190" s="34"/>
    </row>
    <row r="191" spans="1:16">
      <c r="A191" s="32">
        <v>190</v>
      </c>
      <c r="B191" s="33" t="s">
        <v>784</v>
      </c>
      <c r="C191" s="34" t="s">
        <v>317</v>
      </c>
      <c r="D191" s="34" t="s">
        <v>795</v>
      </c>
      <c r="E191" s="34" t="s">
        <v>1056</v>
      </c>
      <c r="F191" s="35">
        <v>45622</v>
      </c>
      <c r="G191" s="35">
        <f t="shared" si="24"/>
        <v>45622</v>
      </c>
      <c r="H191" s="34"/>
      <c r="I191" s="48" t="s">
        <v>568</v>
      </c>
      <c r="J191" s="48" t="s">
        <v>852</v>
      </c>
      <c r="K191" s="34"/>
      <c r="L191" s="34"/>
      <c r="M191" s="37">
        <v>79500</v>
      </c>
      <c r="N191" s="37">
        <f t="shared" si="25"/>
        <v>14310</v>
      </c>
      <c r="O191" s="37">
        <f t="shared" si="20"/>
        <v>93810</v>
      </c>
      <c r="P191" s="34"/>
    </row>
    <row r="192" spans="1:16">
      <c r="A192" s="32">
        <v>191</v>
      </c>
      <c r="B192" s="33" t="s">
        <v>784</v>
      </c>
      <c r="C192" s="34" t="s">
        <v>317</v>
      </c>
      <c r="D192" s="34" t="s">
        <v>795</v>
      </c>
      <c r="E192" s="34" t="s">
        <v>1057</v>
      </c>
      <c r="F192" s="35">
        <v>45622</v>
      </c>
      <c r="G192" s="35">
        <f t="shared" si="24"/>
        <v>45622</v>
      </c>
      <c r="H192" s="34"/>
      <c r="I192" s="48" t="s">
        <v>1058</v>
      </c>
      <c r="J192" s="48"/>
      <c r="K192" s="34"/>
      <c r="L192" s="34"/>
      <c r="M192" s="37">
        <v>79500</v>
      </c>
      <c r="N192" s="37">
        <f t="shared" si="25"/>
        <v>14310</v>
      </c>
      <c r="O192" s="37">
        <f t="shared" si="20"/>
        <v>93810</v>
      </c>
      <c r="P192" s="34"/>
    </row>
    <row r="193" spans="1:16">
      <c r="A193" s="32">
        <v>192</v>
      </c>
      <c r="B193" s="33" t="s">
        <v>784</v>
      </c>
      <c r="C193" s="34" t="s">
        <v>630</v>
      </c>
      <c r="D193" s="34" t="s">
        <v>795</v>
      </c>
      <c r="E193" s="34" t="s">
        <v>1057</v>
      </c>
      <c r="F193" s="35">
        <v>45622</v>
      </c>
      <c r="G193" s="35">
        <f t="shared" si="24"/>
        <v>45622</v>
      </c>
      <c r="H193" s="34"/>
      <c r="I193" s="48" t="s">
        <v>1059</v>
      </c>
      <c r="J193" s="48"/>
      <c r="K193" s="34"/>
      <c r="L193" s="34"/>
      <c r="M193" s="37">
        <v>17067</v>
      </c>
      <c r="N193" s="37">
        <f t="shared" si="25"/>
        <v>3072.06</v>
      </c>
      <c r="O193" s="37">
        <f t="shared" si="20"/>
        <v>20139.060000000001</v>
      </c>
      <c r="P193" s="34"/>
    </row>
    <row r="194" spans="1:16">
      <c r="A194" s="32">
        <v>193</v>
      </c>
      <c r="B194" s="33" t="s">
        <v>784</v>
      </c>
      <c r="C194" s="34" t="s">
        <v>317</v>
      </c>
      <c r="D194" s="34" t="s">
        <v>795</v>
      </c>
      <c r="E194" s="34" t="s">
        <v>1060</v>
      </c>
      <c r="F194" s="35">
        <v>45622</v>
      </c>
      <c r="G194" s="35">
        <f t="shared" si="24"/>
        <v>45622</v>
      </c>
      <c r="H194" s="34"/>
      <c r="I194" s="48" t="s">
        <v>424</v>
      </c>
      <c r="J194" s="48"/>
      <c r="K194" s="34"/>
      <c r="L194" s="34"/>
      <c r="M194" s="37">
        <v>190524</v>
      </c>
      <c r="N194" s="37">
        <f t="shared" si="25"/>
        <v>34294.32</v>
      </c>
      <c r="O194" s="37">
        <f t="shared" si="20"/>
        <v>224818.32</v>
      </c>
      <c r="P194" s="34"/>
    </row>
    <row r="195" spans="1:16">
      <c r="A195" s="32">
        <v>194</v>
      </c>
      <c r="B195" s="33" t="s">
        <v>784</v>
      </c>
      <c r="C195" s="34" t="s">
        <v>630</v>
      </c>
      <c r="D195" s="34" t="s">
        <v>795</v>
      </c>
      <c r="E195" s="34" t="s">
        <v>1060</v>
      </c>
      <c r="F195" s="35">
        <v>45622</v>
      </c>
      <c r="G195" s="35">
        <f t="shared" si="24"/>
        <v>45622</v>
      </c>
      <c r="H195" s="34"/>
      <c r="I195" s="48" t="s">
        <v>1061</v>
      </c>
      <c r="J195" s="48" t="s">
        <v>852</v>
      </c>
      <c r="K195" s="34"/>
      <c r="L195" s="34"/>
      <c r="M195" s="37">
        <v>34134</v>
      </c>
      <c r="N195" s="37">
        <f t="shared" si="25"/>
        <v>6144.12</v>
      </c>
      <c r="O195" s="37">
        <f t="shared" ref="O195:O258" si="26">SUM(M195:N195)</f>
        <v>40278.120000000003</v>
      </c>
      <c r="P195" s="34"/>
    </row>
    <row r="196" spans="1:16">
      <c r="A196" s="32">
        <v>195</v>
      </c>
      <c r="B196" s="33" t="s">
        <v>784</v>
      </c>
      <c r="C196" s="34" t="s">
        <v>630</v>
      </c>
      <c r="D196" s="34" t="s">
        <v>795</v>
      </c>
      <c r="E196" s="34" t="s">
        <v>1060</v>
      </c>
      <c r="F196" s="35">
        <v>45622</v>
      </c>
      <c r="G196" s="35">
        <f t="shared" si="24"/>
        <v>45622</v>
      </c>
      <c r="H196" s="34"/>
      <c r="I196" s="48" t="s">
        <v>1062</v>
      </c>
      <c r="J196" s="48" t="s">
        <v>852</v>
      </c>
      <c r="K196" s="34"/>
      <c r="L196" s="34"/>
      <c r="M196" s="37"/>
      <c r="N196" s="37"/>
      <c r="O196" s="37">
        <f t="shared" si="26"/>
        <v>0</v>
      </c>
      <c r="P196" s="34"/>
    </row>
    <row r="197" spans="1:16">
      <c r="A197" s="32">
        <v>196</v>
      </c>
      <c r="B197" s="33" t="s">
        <v>784</v>
      </c>
      <c r="C197" s="34" t="s">
        <v>317</v>
      </c>
      <c r="D197" s="34" t="s">
        <v>795</v>
      </c>
      <c r="E197" s="34" t="s">
        <v>1063</v>
      </c>
      <c r="F197" s="35">
        <v>45622</v>
      </c>
      <c r="G197" s="35">
        <f t="shared" si="24"/>
        <v>45622</v>
      </c>
      <c r="H197" s="34"/>
      <c r="I197" s="48" t="s">
        <v>1064</v>
      </c>
      <c r="J197" s="48"/>
      <c r="K197" s="34"/>
      <c r="L197" s="34"/>
      <c r="M197" s="37">
        <v>190524</v>
      </c>
      <c r="N197" s="37">
        <f t="shared" si="25"/>
        <v>34294.32</v>
      </c>
      <c r="O197" s="37">
        <f t="shared" si="26"/>
        <v>224818.32</v>
      </c>
      <c r="P197" s="34"/>
    </row>
    <row r="198" spans="1:16">
      <c r="A198" s="32">
        <v>197</v>
      </c>
      <c r="B198" s="33" t="s">
        <v>784</v>
      </c>
      <c r="C198" s="34" t="s">
        <v>630</v>
      </c>
      <c r="D198" s="34" t="s">
        <v>795</v>
      </c>
      <c r="E198" s="34" t="s">
        <v>1063</v>
      </c>
      <c r="F198" s="35">
        <v>45622</v>
      </c>
      <c r="G198" s="35">
        <f t="shared" si="24"/>
        <v>45622</v>
      </c>
      <c r="H198" s="34"/>
      <c r="I198" s="48" t="s">
        <v>432</v>
      </c>
      <c r="J198" s="48" t="s">
        <v>852</v>
      </c>
      <c r="K198" s="34"/>
      <c r="L198" s="34"/>
      <c r="M198" s="37">
        <v>34134</v>
      </c>
      <c r="N198" s="37">
        <f t="shared" si="25"/>
        <v>6144.12</v>
      </c>
      <c r="O198" s="37">
        <f t="shared" si="26"/>
        <v>40278.120000000003</v>
      </c>
      <c r="P198" s="34"/>
    </row>
    <row r="199" spans="1:16">
      <c r="A199" s="32">
        <v>198</v>
      </c>
      <c r="B199" s="33" t="s">
        <v>784</v>
      </c>
      <c r="C199" s="34" t="s">
        <v>630</v>
      </c>
      <c r="D199" s="34" t="s">
        <v>795</v>
      </c>
      <c r="E199" s="34" t="s">
        <v>1063</v>
      </c>
      <c r="F199" s="35">
        <v>45622</v>
      </c>
      <c r="G199" s="35">
        <f t="shared" si="24"/>
        <v>45622</v>
      </c>
      <c r="H199" s="34"/>
      <c r="I199" s="36" t="s">
        <v>1065</v>
      </c>
      <c r="J199" s="48" t="s">
        <v>852</v>
      </c>
      <c r="K199" s="34"/>
      <c r="L199" s="34"/>
      <c r="M199" s="37"/>
      <c r="N199" s="37"/>
      <c r="O199" s="37">
        <f t="shared" si="26"/>
        <v>0</v>
      </c>
      <c r="P199" s="34"/>
    </row>
    <row r="200" spans="1:16">
      <c r="A200" s="32">
        <v>199</v>
      </c>
      <c r="B200" s="52" t="s">
        <v>784</v>
      </c>
      <c r="C200" s="34" t="s">
        <v>317</v>
      </c>
      <c r="D200" s="34" t="s">
        <v>795</v>
      </c>
      <c r="E200" s="34" t="s">
        <v>1066</v>
      </c>
      <c r="F200" s="35">
        <v>45627</v>
      </c>
      <c r="G200" s="35">
        <v>45625</v>
      </c>
      <c r="H200" s="34"/>
      <c r="I200" s="48" t="s">
        <v>1067</v>
      </c>
      <c r="J200" s="48" t="s">
        <v>852</v>
      </c>
      <c r="K200" s="34"/>
      <c r="L200" s="34"/>
      <c r="M200" s="37">
        <v>137830</v>
      </c>
      <c r="N200" s="37">
        <f t="shared" si="25"/>
        <v>24809.399999999998</v>
      </c>
      <c r="O200" s="37">
        <f t="shared" si="26"/>
        <v>162639.4</v>
      </c>
      <c r="P200" s="34"/>
    </row>
    <row r="201" spans="1:16">
      <c r="A201" s="32">
        <v>200</v>
      </c>
      <c r="B201" s="52" t="s">
        <v>784</v>
      </c>
      <c r="C201" s="34" t="s">
        <v>317</v>
      </c>
      <c r="D201" s="34" t="s">
        <v>795</v>
      </c>
      <c r="E201" s="34" t="s">
        <v>1068</v>
      </c>
      <c r="F201" s="35">
        <v>45627</v>
      </c>
      <c r="G201" s="35">
        <v>45610</v>
      </c>
      <c r="H201" s="34"/>
      <c r="I201" s="36" t="s">
        <v>1069</v>
      </c>
      <c r="J201" s="48"/>
      <c r="K201" s="34"/>
      <c r="L201" s="34"/>
      <c r="M201" s="37">
        <v>79500</v>
      </c>
      <c r="N201" s="37">
        <f t="shared" si="25"/>
        <v>14310</v>
      </c>
      <c r="O201" s="37">
        <f t="shared" si="26"/>
        <v>93810</v>
      </c>
      <c r="P201" s="34"/>
    </row>
    <row r="202" spans="1:16">
      <c r="A202" s="32">
        <v>201</v>
      </c>
      <c r="B202" s="52" t="s">
        <v>784</v>
      </c>
      <c r="C202" s="34" t="s">
        <v>317</v>
      </c>
      <c r="D202" s="34" t="s">
        <v>795</v>
      </c>
      <c r="E202" s="34" t="s">
        <v>1070</v>
      </c>
      <c r="F202" s="35">
        <v>45627</v>
      </c>
      <c r="G202" s="35">
        <v>45622</v>
      </c>
      <c r="H202" s="34"/>
      <c r="I202" s="48" t="s">
        <v>1071</v>
      </c>
      <c r="J202" s="36" t="s">
        <v>852</v>
      </c>
      <c r="K202" s="34"/>
      <c r="L202" s="34"/>
      <c r="M202" s="37">
        <v>79500</v>
      </c>
      <c r="N202" s="37">
        <f t="shared" si="25"/>
        <v>14310</v>
      </c>
      <c r="O202" s="37">
        <f t="shared" si="26"/>
        <v>93810</v>
      </c>
      <c r="P202" s="34"/>
    </row>
    <row r="203" spans="1:16">
      <c r="A203" s="32">
        <v>202</v>
      </c>
      <c r="B203" s="52" t="s">
        <v>784</v>
      </c>
      <c r="C203" s="34" t="s">
        <v>317</v>
      </c>
      <c r="D203" s="34" t="s">
        <v>795</v>
      </c>
      <c r="E203" s="34" t="s">
        <v>1072</v>
      </c>
      <c r="F203" s="35">
        <v>45627</v>
      </c>
      <c r="G203" s="35">
        <v>45625</v>
      </c>
      <c r="H203" s="34"/>
      <c r="I203" s="48" t="s">
        <v>1073</v>
      </c>
      <c r="J203" s="48" t="s">
        <v>852</v>
      </c>
      <c r="K203" s="34"/>
      <c r="L203" s="34"/>
      <c r="M203" s="37">
        <v>137830</v>
      </c>
      <c r="N203" s="37">
        <f t="shared" si="25"/>
        <v>24809.399999999998</v>
      </c>
      <c r="O203" s="37">
        <f t="shared" si="26"/>
        <v>162639.4</v>
      </c>
      <c r="P203" s="34"/>
    </row>
    <row r="204" spans="1:16">
      <c r="A204" s="32">
        <v>203</v>
      </c>
      <c r="B204" s="52" t="s">
        <v>784</v>
      </c>
      <c r="C204" s="34" t="s">
        <v>317</v>
      </c>
      <c r="D204" s="34" t="s">
        <v>795</v>
      </c>
      <c r="E204" s="34" t="s">
        <v>1074</v>
      </c>
      <c r="F204" s="35">
        <v>45627</v>
      </c>
      <c r="G204" s="35">
        <v>45622</v>
      </c>
      <c r="H204" s="34"/>
      <c r="I204" s="36" t="s">
        <v>421</v>
      </c>
      <c r="J204" s="36" t="s">
        <v>852</v>
      </c>
      <c r="K204" s="34"/>
      <c r="L204" s="34"/>
      <c r="M204" s="37">
        <v>190524</v>
      </c>
      <c r="N204" s="37">
        <f t="shared" si="25"/>
        <v>34294.32</v>
      </c>
      <c r="O204" s="37">
        <f t="shared" si="26"/>
        <v>224818.32</v>
      </c>
      <c r="P204" s="34"/>
    </row>
    <row r="205" spans="1:16">
      <c r="A205" s="32">
        <v>204</v>
      </c>
      <c r="B205" s="52" t="s">
        <v>784</v>
      </c>
      <c r="C205" s="34" t="s">
        <v>630</v>
      </c>
      <c r="D205" s="34" t="s">
        <v>795</v>
      </c>
      <c r="E205" s="34" t="s">
        <v>1074</v>
      </c>
      <c r="F205" s="35">
        <v>45627</v>
      </c>
      <c r="G205" s="35">
        <v>45622</v>
      </c>
      <c r="H205" s="34"/>
      <c r="I205" s="48" t="s">
        <v>1075</v>
      </c>
      <c r="J205" s="48" t="s">
        <v>852</v>
      </c>
      <c r="K205" s="34"/>
      <c r="L205" s="34"/>
      <c r="M205" s="37">
        <v>34134</v>
      </c>
      <c r="N205" s="37">
        <f t="shared" si="25"/>
        <v>6144.12</v>
      </c>
      <c r="O205" s="37">
        <f t="shared" si="26"/>
        <v>40278.120000000003</v>
      </c>
      <c r="P205" s="34"/>
    </row>
    <row r="206" spans="1:16">
      <c r="A206" s="32">
        <v>205</v>
      </c>
      <c r="B206" s="52" t="s">
        <v>784</v>
      </c>
      <c r="C206" s="34" t="s">
        <v>630</v>
      </c>
      <c r="D206" s="34" t="s">
        <v>795</v>
      </c>
      <c r="E206" s="34" t="s">
        <v>1074</v>
      </c>
      <c r="F206" s="35">
        <v>45627</v>
      </c>
      <c r="G206" s="35">
        <v>45622</v>
      </c>
      <c r="H206" s="34"/>
      <c r="I206" s="36" t="s">
        <v>422</v>
      </c>
      <c r="J206" s="48" t="s">
        <v>852</v>
      </c>
      <c r="K206" s="34"/>
      <c r="L206" s="34"/>
      <c r="M206" s="37"/>
      <c r="N206" s="37"/>
      <c r="O206" s="37">
        <f t="shared" si="26"/>
        <v>0</v>
      </c>
      <c r="P206" s="34"/>
    </row>
    <row r="207" spans="1:16">
      <c r="A207" s="32">
        <v>206</v>
      </c>
      <c r="B207" s="52" t="s">
        <v>784</v>
      </c>
      <c r="C207" s="34" t="s">
        <v>317</v>
      </c>
      <c r="D207" s="34" t="s">
        <v>795</v>
      </c>
      <c r="E207" s="34" t="s">
        <v>1076</v>
      </c>
      <c r="F207" s="35">
        <v>45627</v>
      </c>
      <c r="G207" s="35">
        <v>45610</v>
      </c>
      <c r="H207" s="34"/>
      <c r="I207" s="48" t="s">
        <v>1077</v>
      </c>
      <c r="J207" s="36"/>
      <c r="K207" s="34"/>
      <c r="L207" s="34"/>
      <c r="M207" s="37">
        <v>190524</v>
      </c>
      <c r="N207" s="37">
        <f t="shared" si="25"/>
        <v>34294.32</v>
      </c>
      <c r="O207" s="37">
        <f t="shared" si="26"/>
        <v>224818.32</v>
      </c>
      <c r="P207" s="34"/>
    </row>
    <row r="208" spans="1:16">
      <c r="A208" s="32">
        <v>207</v>
      </c>
      <c r="B208" s="52" t="s">
        <v>784</v>
      </c>
      <c r="C208" s="34" t="s">
        <v>630</v>
      </c>
      <c r="D208" s="34" t="s">
        <v>795</v>
      </c>
      <c r="E208" s="34" t="s">
        <v>1076</v>
      </c>
      <c r="F208" s="35">
        <v>45627</v>
      </c>
      <c r="G208" s="35">
        <v>45610</v>
      </c>
      <c r="H208" s="34"/>
      <c r="I208" s="48" t="s">
        <v>1078</v>
      </c>
      <c r="J208" s="48" t="s">
        <v>852</v>
      </c>
      <c r="K208" s="34"/>
      <c r="L208" s="34"/>
      <c r="M208" s="37">
        <v>17067</v>
      </c>
      <c r="N208" s="37">
        <f t="shared" si="25"/>
        <v>3072.06</v>
      </c>
      <c r="O208" s="37">
        <f t="shared" si="26"/>
        <v>20139.060000000001</v>
      </c>
      <c r="P208" s="34"/>
    </row>
    <row r="209" spans="1:16">
      <c r="A209" s="32">
        <v>208</v>
      </c>
      <c r="B209" s="52" t="s">
        <v>784</v>
      </c>
      <c r="C209" s="34" t="s">
        <v>317</v>
      </c>
      <c r="D209" s="34" t="s">
        <v>795</v>
      </c>
      <c r="E209" s="34" t="s">
        <v>1079</v>
      </c>
      <c r="F209" s="35">
        <v>45627</v>
      </c>
      <c r="G209" s="35">
        <v>45624</v>
      </c>
      <c r="H209" s="34"/>
      <c r="I209" s="48" t="s">
        <v>478</v>
      </c>
      <c r="J209" s="36"/>
      <c r="K209" s="34"/>
      <c r="L209" s="34"/>
      <c r="M209" s="37">
        <v>190524</v>
      </c>
      <c r="N209" s="37">
        <f t="shared" si="25"/>
        <v>34294.32</v>
      </c>
      <c r="O209" s="37">
        <f t="shared" si="26"/>
        <v>224818.32</v>
      </c>
      <c r="P209" s="34"/>
    </row>
    <row r="210" spans="1:16">
      <c r="A210" s="32">
        <v>209</v>
      </c>
      <c r="B210" s="52" t="s">
        <v>784</v>
      </c>
      <c r="C210" s="34" t="s">
        <v>630</v>
      </c>
      <c r="D210" s="34" t="s">
        <v>795</v>
      </c>
      <c r="E210" s="34" t="s">
        <v>1079</v>
      </c>
      <c r="F210" s="35">
        <v>45627</v>
      </c>
      <c r="G210" s="35">
        <v>45624</v>
      </c>
      <c r="H210" s="34"/>
      <c r="I210" s="48" t="s">
        <v>1080</v>
      </c>
      <c r="J210" s="48"/>
      <c r="K210" s="34"/>
      <c r="L210" s="34"/>
      <c r="M210" s="37">
        <v>34134</v>
      </c>
      <c r="N210" s="37">
        <f t="shared" si="25"/>
        <v>6144.12</v>
      </c>
      <c r="O210" s="37">
        <f t="shared" si="26"/>
        <v>40278.120000000003</v>
      </c>
      <c r="P210" s="34"/>
    </row>
    <row r="211" spans="1:16">
      <c r="A211" s="32">
        <v>210</v>
      </c>
      <c r="B211" s="52" t="s">
        <v>784</v>
      </c>
      <c r="C211" s="34" t="s">
        <v>630</v>
      </c>
      <c r="D211" s="34" t="s">
        <v>795</v>
      </c>
      <c r="E211" s="34" t="s">
        <v>1079</v>
      </c>
      <c r="F211" s="35">
        <v>45627</v>
      </c>
      <c r="G211" s="35">
        <v>45624</v>
      </c>
      <c r="H211" s="34"/>
      <c r="I211" s="48" t="s">
        <v>340</v>
      </c>
      <c r="J211" s="48"/>
      <c r="K211" s="34"/>
      <c r="L211" s="34"/>
      <c r="M211" s="37"/>
      <c r="N211" s="37"/>
      <c r="O211" s="37">
        <f t="shared" si="26"/>
        <v>0</v>
      </c>
      <c r="P211" s="34"/>
    </row>
    <row r="212" spans="1:16">
      <c r="A212" s="32">
        <v>211</v>
      </c>
      <c r="B212" s="52" t="s">
        <v>784</v>
      </c>
      <c r="C212" s="34" t="s">
        <v>317</v>
      </c>
      <c r="D212" s="34" t="s">
        <v>795</v>
      </c>
      <c r="E212" s="34" t="s">
        <v>1081</v>
      </c>
      <c r="F212" s="35">
        <v>45627</v>
      </c>
      <c r="G212" s="35">
        <v>45614</v>
      </c>
      <c r="H212" s="34"/>
      <c r="I212" s="48" t="s">
        <v>1082</v>
      </c>
      <c r="J212" s="48"/>
      <c r="K212" s="34"/>
      <c r="L212" s="34"/>
      <c r="M212" s="37">
        <v>190524</v>
      </c>
      <c r="N212" s="37">
        <f t="shared" ref="N212:N215" si="27">M212*18%</f>
        <v>34294.32</v>
      </c>
      <c r="O212" s="37">
        <f t="shared" si="26"/>
        <v>224818.32</v>
      </c>
      <c r="P212" s="34"/>
    </row>
    <row r="213" spans="1:16">
      <c r="A213" s="32">
        <v>212</v>
      </c>
      <c r="B213" s="52" t="s">
        <v>784</v>
      </c>
      <c r="C213" s="34" t="s">
        <v>630</v>
      </c>
      <c r="D213" s="34" t="s">
        <v>795</v>
      </c>
      <c r="E213" s="34" t="s">
        <v>1081</v>
      </c>
      <c r="F213" s="35">
        <v>45627</v>
      </c>
      <c r="G213" s="35">
        <v>45614</v>
      </c>
      <c r="H213" s="34"/>
      <c r="I213" s="48" t="s">
        <v>1083</v>
      </c>
      <c r="J213" s="48"/>
      <c r="K213" s="34"/>
      <c r="L213" s="34"/>
      <c r="M213" s="37">
        <v>17067</v>
      </c>
      <c r="N213" s="37">
        <f t="shared" si="27"/>
        <v>3072.06</v>
      </c>
      <c r="O213" s="37">
        <f t="shared" si="26"/>
        <v>20139.060000000001</v>
      </c>
      <c r="P213" s="34"/>
    </row>
    <row r="214" spans="1:16">
      <c r="A214" s="32">
        <v>213</v>
      </c>
      <c r="B214" s="52" t="s">
        <v>784</v>
      </c>
      <c r="C214" s="34" t="s">
        <v>317</v>
      </c>
      <c r="D214" s="34" t="s">
        <v>795</v>
      </c>
      <c r="E214" s="34" t="s">
        <v>1084</v>
      </c>
      <c r="F214" s="35">
        <v>45627</v>
      </c>
      <c r="G214" s="35">
        <v>45615</v>
      </c>
      <c r="H214" s="34"/>
      <c r="I214" s="48" t="s">
        <v>738</v>
      </c>
      <c r="J214" s="48"/>
      <c r="K214" s="34"/>
      <c r="L214" s="34"/>
      <c r="M214" s="37">
        <v>190524</v>
      </c>
      <c r="N214" s="37">
        <f t="shared" si="27"/>
        <v>34294.32</v>
      </c>
      <c r="O214" s="37">
        <f t="shared" si="26"/>
        <v>224818.32</v>
      </c>
      <c r="P214" s="34"/>
    </row>
    <row r="215" spans="1:16">
      <c r="A215" s="32">
        <v>214</v>
      </c>
      <c r="B215" s="52" t="s">
        <v>784</v>
      </c>
      <c r="C215" s="34" t="s">
        <v>630</v>
      </c>
      <c r="D215" s="34" t="s">
        <v>795</v>
      </c>
      <c r="E215" s="34" t="s">
        <v>1084</v>
      </c>
      <c r="F215" s="35">
        <v>45627</v>
      </c>
      <c r="G215" s="35">
        <v>45615</v>
      </c>
      <c r="H215" s="34"/>
      <c r="I215" s="36" t="s">
        <v>1085</v>
      </c>
      <c r="J215" s="48" t="s">
        <v>792</v>
      </c>
      <c r="K215" s="34"/>
      <c r="L215" s="34"/>
      <c r="M215" s="37">
        <v>34134</v>
      </c>
      <c r="N215" s="37">
        <f t="shared" si="27"/>
        <v>6144.12</v>
      </c>
      <c r="O215" s="37">
        <f t="shared" si="26"/>
        <v>40278.120000000003</v>
      </c>
      <c r="P215" s="34"/>
    </row>
    <row r="216" spans="1:16">
      <c r="A216" s="32">
        <v>215</v>
      </c>
      <c r="B216" s="52" t="s">
        <v>784</v>
      </c>
      <c r="C216" s="34" t="s">
        <v>630</v>
      </c>
      <c r="D216" s="34" t="s">
        <v>795</v>
      </c>
      <c r="E216" s="34" t="s">
        <v>1084</v>
      </c>
      <c r="F216" s="35">
        <v>45627</v>
      </c>
      <c r="G216" s="35">
        <v>45615</v>
      </c>
      <c r="H216" s="34"/>
      <c r="I216" s="36" t="s">
        <v>1086</v>
      </c>
      <c r="J216" s="48" t="s">
        <v>792</v>
      </c>
      <c r="K216" s="34"/>
      <c r="L216" s="34"/>
      <c r="M216" s="37"/>
      <c r="N216" s="37"/>
      <c r="O216" s="37">
        <f t="shared" si="26"/>
        <v>0</v>
      </c>
      <c r="P216" s="34"/>
    </row>
    <row r="217" spans="1:16">
      <c r="A217" s="32">
        <v>216</v>
      </c>
      <c r="B217" s="52" t="s">
        <v>784</v>
      </c>
      <c r="C217" s="34" t="s">
        <v>630</v>
      </c>
      <c r="D217" s="34" t="s">
        <v>795</v>
      </c>
      <c r="E217" s="34" t="s">
        <v>1087</v>
      </c>
      <c r="F217" s="35">
        <v>45645</v>
      </c>
      <c r="G217" s="35">
        <f>F217</f>
        <v>45645</v>
      </c>
      <c r="H217" s="34"/>
      <c r="I217" s="48" t="s">
        <v>1088</v>
      </c>
      <c r="J217" s="48"/>
      <c r="K217" s="34"/>
      <c r="L217" s="34"/>
      <c r="M217" s="37">
        <v>17067</v>
      </c>
      <c r="N217" s="37">
        <f t="shared" ref="N217:N257" si="28">M217*18%</f>
        <v>3072.06</v>
      </c>
      <c r="O217" s="37">
        <f t="shared" si="26"/>
        <v>20139.060000000001</v>
      </c>
      <c r="P217" s="34"/>
    </row>
    <row r="218" spans="1:16">
      <c r="A218" s="32">
        <v>217</v>
      </c>
      <c r="B218" s="52" t="s">
        <v>784</v>
      </c>
      <c r="C218" s="34" t="s">
        <v>317</v>
      </c>
      <c r="D218" s="34" t="s">
        <v>795</v>
      </c>
      <c r="E218" s="34" t="s">
        <v>1089</v>
      </c>
      <c r="F218" s="35">
        <v>45649</v>
      </c>
      <c r="G218" s="35">
        <f t="shared" ref="G218:G221" si="29">F218</f>
        <v>45649</v>
      </c>
      <c r="H218" s="34"/>
      <c r="I218" s="48" t="s">
        <v>1090</v>
      </c>
      <c r="J218" s="36" t="s">
        <v>792</v>
      </c>
      <c r="K218" s="34"/>
      <c r="L218" s="34"/>
      <c r="M218" s="37">
        <v>190524</v>
      </c>
      <c r="N218" s="37">
        <f t="shared" si="28"/>
        <v>34294.32</v>
      </c>
      <c r="O218" s="37">
        <f t="shared" si="26"/>
        <v>224818.32</v>
      </c>
      <c r="P218" s="34"/>
    </row>
    <row r="219" spans="1:16">
      <c r="A219" s="32">
        <v>218</v>
      </c>
      <c r="B219" s="52" t="s">
        <v>784</v>
      </c>
      <c r="C219" s="34" t="s">
        <v>317</v>
      </c>
      <c r="D219" s="34" t="s">
        <v>795</v>
      </c>
      <c r="E219" s="34" t="s">
        <v>1091</v>
      </c>
      <c r="F219" s="35">
        <v>45652</v>
      </c>
      <c r="G219" s="35">
        <f t="shared" si="29"/>
        <v>45652</v>
      </c>
      <c r="H219" s="34"/>
      <c r="I219" s="36" t="s">
        <v>572</v>
      </c>
      <c r="J219" s="36" t="s">
        <v>792</v>
      </c>
      <c r="K219" s="34"/>
      <c r="L219" s="34"/>
      <c r="M219" s="37">
        <v>190524</v>
      </c>
      <c r="N219" s="37">
        <f t="shared" si="28"/>
        <v>34294.32</v>
      </c>
      <c r="O219" s="37">
        <f t="shared" si="26"/>
        <v>224818.32</v>
      </c>
      <c r="P219" s="34"/>
    </row>
    <row r="220" spans="1:16">
      <c r="A220" s="32">
        <v>219</v>
      </c>
      <c r="B220" s="52" t="s">
        <v>784</v>
      </c>
      <c r="C220" s="34" t="s">
        <v>630</v>
      </c>
      <c r="D220" s="34" t="s">
        <v>795</v>
      </c>
      <c r="E220" s="34" t="s">
        <v>1091</v>
      </c>
      <c r="F220" s="35">
        <v>45652</v>
      </c>
      <c r="G220" s="35">
        <f t="shared" si="29"/>
        <v>45652</v>
      </c>
      <c r="H220" s="34"/>
      <c r="I220" s="48" t="s">
        <v>1092</v>
      </c>
      <c r="J220" s="48" t="s">
        <v>792</v>
      </c>
      <c r="K220" s="34"/>
      <c r="L220" s="34"/>
      <c r="M220" s="37">
        <v>34134</v>
      </c>
      <c r="N220" s="37">
        <f t="shared" si="28"/>
        <v>6144.12</v>
      </c>
      <c r="O220" s="37">
        <f t="shared" si="26"/>
        <v>40278.120000000003</v>
      </c>
      <c r="P220" s="34"/>
    </row>
    <row r="221" spans="1:16">
      <c r="A221" s="32">
        <v>220</v>
      </c>
      <c r="B221" s="52" t="s">
        <v>784</v>
      </c>
      <c r="C221" s="34" t="s">
        <v>630</v>
      </c>
      <c r="D221" s="34" t="s">
        <v>795</v>
      </c>
      <c r="E221" s="34" t="s">
        <v>1091</v>
      </c>
      <c r="F221" s="35">
        <v>45652</v>
      </c>
      <c r="G221" s="35">
        <f t="shared" si="29"/>
        <v>45652</v>
      </c>
      <c r="H221" s="34"/>
      <c r="I221" s="48" t="s">
        <v>1093</v>
      </c>
      <c r="J221" s="48" t="s">
        <v>792</v>
      </c>
      <c r="K221" s="34"/>
      <c r="L221" s="34"/>
      <c r="M221" s="37"/>
      <c r="N221" s="37"/>
      <c r="O221" s="37">
        <f t="shared" si="26"/>
        <v>0</v>
      </c>
      <c r="P221" s="34"/>
    </row>
    <row r="222" spans="1:16">
      <c r="A222" s="32">
        <v>221</v>
      </c>
      <c r="B222" s="52" t="s">
        <v>784</v>
      </c>
      <c r="C222" s="34" t="s">
        <v>317</v>
      </c>
      <c r="D222" s="34" t="s">
        <v>795</v>
      </c>
      <c r="E222" s="34" t="s">
        <v>1094</v>
      </c>
      <c r="F222" s="35">
        <v>45657</v>
      </c>
      <c r="G222" s="35">
        <v>45652</v>
      </c>
      <c r="H222" s="34"/>
      <c r="I222" s="36" t="s">
        <v>1095</v>
      </c>
      <c r="J222" s="36"/>
      <c r="K222" s="34"/>
      <c r="L222" s="34"/>
      <c r="M222" s="37">
        <v>307875</v>
      </c>
      <c r="N222" s="37">
        <f t="shared" si="28"/>
        <v>55417.5</v>
      </c>
      <c r="O222" s="37">
        <f t="shared" si="26"/>
        <v>363292.5</v>
      </c>
      <c r="P222" s="34"/>
    </row>
    <row r="223" spans="1:16">
      <c r="A223" s="32">
        <v>222</v>
      </c>
      <c r="B223" s="52" t="s">
        <v>784</v>
      </c>
      <c r="C223" s="34" t="s">
        <v>630</v>
      </c>
      <c r="D223" s="34" t="s">
        <v>795</v>
      </c>
      <c r="E223" s="34" t="s">
        <v>1094</v>
      </c>
      <c r="F223" s="35">
        <v>45657</v>
      </c>
      <c r="G223" s="35">
        <v>45652</v>
      </c>
      <c r="H223" s="34"/>
      <c r="I223" s="36" t="s">
        <v>611</v>
      </c>
      <c r="J223" s="48" t="s">
        <v>792</v>
      </c>
      <c r="K223" s="34"/>
      <c r="L223" s="34"/>
      <c r="M223" s="37">
        <v>52542</v>
      </c>
      <c r="N223" s="37">
        <f t="shared" si="28"/>
        <v>9457.56</v>
      </c>
      <c r="O223" s="37">
        <f t="shared" si="26"/>
        <v>61999.56</v>
      </c>
      <c r="P223" s="34"/>
    </row>
    <row r="224" spans="1:16">
      <c r="A224" s="32">
        <v>223</v>
      </c>
      <c r="B224" s="52" t="s">
        <v>784</v>
      </c>
      <c r="C224" s="34" t="s">
        <v>630</v>
      </c>
      <c r="D224" s="34" t="s">
        <v>795</v>
      </c>
      <c r="E224" s="34" t="s">
        <v>1094</v>
      </c>
      <c r="F224" s="35">
        <v>45657</v>
      </c>
      <c r="G224" s="35">
        <v>45652</v>
      </c>
      <c r="H224" s="34"/>
      <c r="I224" s="48" t="s">
        <v>1096</v>
      </c>
      <c r="J224" s="48" t="s">
        <v>792</v>
      </c>
      <c r="K224" s="34"/>
      <c r="L224" s="34"/>
      <c r="M224" s="37"/>
      <c r="N224" s="37"/>
      <c r="O224" s="37">
        <f t="shared" si="26"/>
        <v>0</v>
      </c>
      <c r="P224" s="34"/>
    </row>
    <row r="225" spans="1:16">
      <c r="A225" s="32">
        <v>224</v>
      </c>
      <c r="B225" s="52" t="s">
        <v>784</v>
      </c>
      <c r="C225" s="34" t="s">
        <v>317</v>
      </c>
      <c r="D225" s="34" t="s">
        <v>795</v>
      </c>
      <c r="E225" s="34" t="s">
        <v>1097</v>
      </c>
      <c r="F225" s="35">
        <v>45657</v>
      </c>
      <c r="G225" s="35">
        <v>45652</v>
      </c>
      <c r="H225" s="34"/>
      <c r="I225" s="36" t="s">
        <v>596</v>
      </c>
      <c r="J225" s="36" t="s">
        <v>792</v>
      </c>
      <c r="K225" s="34"/>
      <c r="L225" s="34"/>
      <c r="M225" s="37">
        <v>78100</v>
      </c>
      <c r="N225" s="37">
        <f t="shared" si="28"/>
        <v>14058</v>
      </c>
      <c r="O225" s="37">
        <f t="shared" si="26"/>
        <v>92158</v>
      </c>
      <c r="P225" s="34"/>
    </row>
    <row r="226" spans="1:16">
      <c r="A226" s="32">
        <v>225</v>
      </c>
      <c r="B226" s="52" t="s">
        <v>784</v>
      </c>
      <c r="C226" s="34" t="s">
        <v>317</v>
      </c>
      <c r="D226" s="34" t="s">
        <v>795</v>
      </c>
      <c r="E226" s="34" t="s">
        <v>1098</v>
      </c>
      <c r="F226" s="35">
        <v>45657</v>
      </c>
      <c r="G226" s="35">
        <v>45652</v>
      </c>
      <c r="H226" s="34"/>
      <c r="I226" s="48" t="s">
        <v>1099</v>
      </c>
      <c r="J226" s="36"/>
      <c r="K226" s="34"/>
      <c r="L226" s="34"/>
      <c r="M226" s="37">
        <v>190524</v>
      </c>
      <c r="N226" s="37">
        <f t="shared" si="28"/>
        <v>34294.32</v>
      </c>
      <c r="O226" s="37">
        <f t="shared" si="26"/>
        <v>224818.32</v>
      </c>
      <c r="P226" s="34"/>
    </row>
    <row r="227" spans="1:16">
      <c r="A227" s="32">
        <v>226</v>
      </c>
      <c r="B227" s="52" t="s">
        <v>784</v>
      </c>
      <c r="C227" s="34" t="s">
        <v>630</v>
      </c>
      <c r="D227" s="34" t="s">
        <v>795</v>
      </c>
      <c r="E227" s="34" t="s">
        <v>1098</v>
      </c>
      <c r="F227" s="35">
        <v>45657</v>
      </c>
      <c r="G227" s="35">
        <v>45652</v>
      </c>
      <c r="H227" s="34"/>
      <c r="I227" s="48" t="s">
        <v>1100</v>
      </c>
      <c r="J227" s="48" t="s">
        <v>792</v>
      </c>
      <c r="K227" s="34"/>
      <c r="L227" s="34"/>
      <c r="M227" s="37">
        <v>17067</v>
      </c>
      <c r="N227" s="37">
        <f t="shared" si="28"/>
        <v>3072.06</v>
      </c>
      <c r="O227" s="37">
        <f t="shared" si="26"/>
        <v>20139.060000000001</v>
      </c>
      <c r="P227" s="34"/>
    </row>
    <row r="228" spans="1:16">
      <c r="A228" s="32">
        <v>227</v>
      </c>
      <c r="B228" s="52" t="s">
        <v>784</v>
      </c>
      <c r="C228" s="34" t="s">
        <v>317</v>
      </c>
      <c r="D228" s="34" t="s">
        <v>795</v>
      </c>
      <c r="E228" s="34" t="s">
        <v>1101</v>
      </c>
      <c r="F228" s="35">
        <v>45658</v>
      </c>
      <c r="G228" s="35">
        <v>45653</v>
      </c>
      <c r="H228" s="34"/>
      <c r="I228" s="36" t="s">
        <v>370</v>
      </c>
      <c r="J228" s="36"/>
      <c r="K228" s="34"/>
      <c r="L228" s="34"/>
      <c r="M228" s="37">
        <v>148715</v>
      </c>
      <c r="N228" s="37">
        <f t="shared" si="28"/>
        <v>26768.7</v>
      </c>
      <c r="O228" s="37">
        <f t="shared" si="26"/>
        <v>175483.7</v>
      </c>
      <c r="P228" s="34"/>
    </row>
    <row r="229" spans="1:16">
      <c r="A229" s="32">
        <v>228</v>
      </c>
      <c r="B229" s="52" t="s">
        <v>784</v>
      </c>
      <c r="C229" s="34" t="s">
        <v>317</v>
      </c>
      <c r="D229" s="34" t="s">
        <v>795</v>
      </c>
      <c r="E229" s="34" t="s">
        <v>1102</v>
      </c>
      <c r="F229" s="35">
        <v>45658</v>
      </c>
      <c r="G229" s="35">
        <v>45654</v>
      </c>
      <c r="H229" s="34"/>
      <c r="I229" s="48" t="s">
        <v>1103</v>
      </c>
      <c r="J229" s="48" t="s">
        <v>792</v>
      </c>
      <c r="K229" s="34"/>
      <c r="L229" s="34"/>
      <c r="M229" s="37">
        <v>205324</v>
      </c>
      <c r="N229" s="37">
        <f t="shared" si="28"/>
        <v>36958.32</v>
      </c>
      <c r="O229" s="37">
        <f t="shared" si="26"/>
        <v>242282.32</v>
      </c>
      <c r="P229" s="32"/>
    </row>
    <row r="230" spans="1:16">
      <c r="A230" s="32">
        <v>229</v>
      </c>
      <c r="B230" s="52" t="s">
        <v>784</v>
      </c>
      <c r="C230" s="34" t="s">
        <v>317</v>
      </c>
      <c r="D230" s="34" t="s">
        <v>795</v>
      </c>
      <c r="E230" s="34" t="s">
        <v>1102</v>
      </c>
      <c r="F230" s="35">
        <v>45658</v>
      </c>
      <c r="G230" s="35">
        <v>45654</v>
      </c>
      <c r="H230" s="34"/>
      <c r="I230" s="36" t="s">
        <v>331</v>
      </c>
      <c r="J230" s="48" t="s">
        <v>792</v>
      </c>
      <c r="K230" s="34"/>
      <c r="L230" s="34"/>
      <c r="M230" s="37"/>
      <c r="N230" s="37"/>
      <c r="O230" s="37">
        <v>181600</v>
      </c>
      <c r="P230" s="34"/>
    </row>
    <row r="231" spans="1:16">
      <c r="A231" s="32">
        <v>230</v>
      </c>
      <c r="B231" s="52" t="s">
        <v>784</v>
      </c>
      <c r="C231" s="34" t="s">
        <v>317</v>
      </c>
      <c r="D231" s="34" t="s">
        <v>795</v>
      </c>
      <c r="E231" s="34" t="s">
        <v>1104</v>
      </c>
      <c r="F231" s="35">
        <v>45658</v>
      </c>
      <c r="G231" s="35">
        <v>45639</v>
      </c>
      <c r="H231" s="34"/>
      <c r="I231" s="48" t="s">
        <v>1105</v>
      </c>
      <c r="J231" s="36"/>
      <c r="K231" s="34"/>
      <c r="L231" s="34"/>
      <c r="M231" s="37">
        <v>96567</v>
      </c>
      <c r="N231" s="37">
        <f t="shared" si="28"/>
        <v>17382.059999999998</v>
      </c>
      <c r="O231" s="37">
        <f t="shared" si="26"/>
        <v>113949.06</v>
      </c>
      <c r="P231" s="32"/>
    </row>
    <row r="232" spans="1:16">
      <c r="A232" s="32">
        <v>231</v>
      </c>
      <c r="B232" s="52" t="s">
        <v>784</v>
      </c>
      <c r="C232" s="34" t="s">
        <v>317</v>
      </c>
      <c r="D232" s="34" t="s">
        <v>795</v>
      </c>
      <c r="E232" s="34" t="s">
        <v>1104</v>
      </c>
      <c r="F232" s="35">
        <v>45658</v>
      </c>
      <c r="G232" s="35">
        <v>45639</v>
      </c>
      <c r="H232" s="34"/>
      <c r="I232" s="36" t="s">
        <v>1106</v>
      </c>
      <c r="J232" s="48"/>
      <c r="K232" s="34"/>
      <c r="L232" s="34"/>
      <c r="M232" s="37"/>
      <c r="N232" s="37"/>
      <c r="O232" s="37">
        <v>181600</v>
      </c>
      <c r="P232" s="34"/>
    </row>
    <row r="233" spans="1:16">
      <c r="A233" s="32">
        <v>232</v>
      </c>
      <c r="B233" s="52" t="s">
        <v>784</v>
      </c>
      <c r="C233" s="34" t="s">
        <v>317</v>
      </c>
      <c r="D233" s="34" t="s">
        <v>795</v>
      </c>
      <c r="E233" s="34" t="s">
        <v>1107</v>
      </c>
      <c r="F233" s="35">
        <v>45658</v>
      </c>
      <c r="G233" s="35">
        <v>45639</v>
      </c>
      <c r="H233" s="34"/>
      <c r="I233" s="36" t="s">
        <v>1108</v>
      </c>
      <c r="J233" s="36"/>
      <c r="K233" s="34"/>
      <c r="L233" s="34"/>
      <c r="M233" s="37">
        <v>207591</v>
      </c>
      <c r="N233" s="37">
        <f t="shared" si="28"/>
        <v>37366.379999999997</v>
      </c>
      <c r="O233" s="37">
        <f t="shared" si="26"/>
        <v>244957.38</v>
      </c>
      <c r="P233" s="32"/>
    </row>
    <row r="234" spans="1:16">
      <c r="A234" s="32">
        <v>233</v>
      </c>
      <c r="B234" s="52" t="s">
        <v>784</v>
      </c>
      <c r="C234" s="34" t="s">
        <v>317</v>
      </c>
      <c r="D234" s="34" t="s">
        <v>795</v>
      </c>
      <c r="E234" s="34" t="s">
        <v>1107</v>
      </c>
      <c r="F234" s="35">
        <v>45658</v>
      </c>
      <c r="G234" s="35">
        <v>45639</v>
      </c>
      <c r="H234" s="34"/>
      <c r="I234" s="36" t="s">
        <v>1109</v>
      </c>
      <c r="J234" s="48"/>
      <c r="K234" s="34"/>
      <c r="L234" s="34"/>
      <c r="M234" s="37"/>
      <c r="N234" s="37"/>
      <c r="O234" s="37">
        <v>181600</v>
      </c>
      <c r="P234" s="34"/>
    </row>
    <row r="235" spans="1:16">
      <c r="A235" s="32">
        <v>234</v>
      </c>
      <c r="B235" s="52" t="s">
        <v>784</v>
      </c>
      <c r="C235" s="34" t="s">
        <v>317</v>
      </c>
      <c r="D235" s="34" t="s">
        <v>795</v>
      </c>
      <c r="E235" s="34" t="s">
        <v>1110</v>
      </c>
      <c r="F235" s="35">
        <v>45659</v>
      </c>
      <c r="G235" s="35">
        <f>F235</f>
        <v>45659</v>
      </c>
      <c r="H235" s="34"/>
      <c r="I235" s="48" t="s">
        <v>431</v>
      </c>
      <c r="J235" s="36" t="s">
        <v>792</v>
      </c>
      <c r="K235" s="34"/>
      <c r="L235" s="34"/>
      <c r="M235" s="37">
        <v>139330</v>
      </c>
      <c r="N235" s="37">
        <f t="shared" si="28"/>
        <v>25079.399999999998</v>
      </c>
      <c r="O235" s="37">
        <f t="shared" si="26"/>
        <v>164409.4</v>
      </c>
      <c r="P235" s="34"/>
    </row>
    <row r="236" spans="1:16">
      <c r="A236" s="32">
        <v>235</v>
      </c>
      <c r="B236" s="52" t="s">
        <v>784</v>
      </c>
      <c r="C236" s="34" t="s">
        <v>317</v>
      </c>
      <c r="D236" s="34" t="s">
        <v>795</v>
      </c>
      <c r="E236" s="34" t="s">
        <v>1111</v>
      </c>
      <c r="F236" s="35">
        <v>45659</v>
      </c>
      <c r="G236" s="35">
        <f t="shared" ref="G236:G255" si="30">F236</f>
        <v>45659</v>
      </c>
      <c r="H236" s="34"/>
      <c r="I236" s="48" t="s">
        <v>1112</v>
      </c>
      <c r="J236" s="36" t="s">
        <v>792</v>
      </c>
      <c r="K236" s="34"/>
      <c r="L236" s="34"/>
      <c r="M236" s="37">
        <v>139330</v>
      </c>
      <c r="N236" s="37">
        <f t="shared" si="28"/>
        <v>25079.399999999998</v>
      </c>
      <c r="O236" s="37">
        <f t="shared" si="26"/>
        <v>164409.4</v>
      </c>
      <c r="P236" s="34"/>
    </row>
    <row r="237" spans="1:16">
      <c r="A237" s="32">
        <v>236</v>
      </c>
      <c r="B237" s="52" t="s">
        <v>784</v>
      </c>
      <c r="C237" s="34" t="s">
        <v>317</v>
      </c>
      <c r="D237" s="34" t="s">
        <v>795</v>
      </c>
      <c r="E237" s="34" t="s">
        <v>1113</v>
      </c>
      <c r="F237" s="35">
        <v>45659</v>
      </c>
      <c r="G237" s="35">
        <f t="shared" si="30"/>
        <v>45659</v>
      </c>
      <c r="H237" s="34"/>
      <c r="I237" s="48" t="s">
        <v>1114</v>
      </c>
      <c r="J237" s="36" t="s">
        <v>792</v>
      </c>
      <c r="K237" s="34"/>
      <c r="L237" s="34"/>
      <c r="M237" s="37">
        <v>139330</v>
      </c>
      <c r="N237" s="37">
        <f t="shared" si="28"/>
        <v>25079.399999999998</v>
      </c>
      <c r="O237" s="37">
        <f t="shared" si="26"/>
        <v>164409.4</v>
      </c>
      <c r="P237" s="34"/>
    </row>
    <row r="238" spans="1:16">
      <c r="A238" s="32">
        <v>237</v>
      </c>
      <c r="B238" s="52" t="s">
        <v>784</v>
      </c>
      <c r="C238" s="34" t="s">
        <v>317</v>
      </c>
      <c r="D238" s="34" t="s">
        <v>795</v>
      </c>
      <c r="E238" s="34" t="s">
        <v>1115</v>
      </c>
      <c r="F238" s="35">
        <v>45666</v>
      </c>
      <c r="G238" s="35">
        <f t="shared" si="30"/>
        <v>45666</v>
      </c>
      <c r="H238" s="34"/>
      <c r="I238" s="36" t="s">
        <v>620</v>
      </c>
      <c r="J238" s="48"/>
      <c r="K238" s="34"/>
      <c r="L238" s="34"/>
      <c r="M238" s="37">
        <v>224658</v>
      </c>
      <c r="N238" s="37">
        <f t="shared" si="28"/>
        <v>40438.439999999995</v>
      </c>
      <c r="O238" s="37">
        <f t="shared" si="26"/>
        <v>265096.44</v>
      </c>
      <c r="P238" s="32"/>
    </row>
    <row r="239" spans="1:16">
      <c r="A239" s="32">
        <v>238</v>
      </c>
      <c r="B239" s="52" t="s">
        <v>784</v>
      </c>
      <c r="C239" s="34" t="s">
        <v>317</v>
      </c>
      <c r="D239" s="34" t="s">
        <v>795</v>
      </c>
      <c r="E239" s="34" t="s">
        <v>1115</v>
      </c>
      <c r="F239" s="35">
        <v>45666</v>
      </c>
      <c r="G239" s="35">
        <f t="shared" si="30"/>
        <v>45666</v>
      </c>
      <c r="H239" s="34"/>
      <c r="I239" s="48" t="s">
        <v>1116</v>
      </c>
      <c r="J239" s="48" t="s">
        <v>792</v>
      </c>
      <c r="K239" s="34"/>
      <c r="L239" s="34"/>
      <c r="M239" s="37"/>
      <c r="N239" s="37"/>
      <c r="O239" s="37">
        <v>181600</v>
      </c>
      <c r="P239" s="32"/>
    </row>
    <row r="240" spans="1:16">
      <c r="A240" s="32">
        <v>239</v>
      </c>
      <c r="B240" s="52" t="s">
        <v>784</v>
      </c>
      <c r="C240" s="34" t="s">
        <v>317</v>
      </c>
      <c r="D240" s="34" t="s">
        <v>795</v>
      </c>
      <c r="E240" s="34" t="s">
        <v>1115</v>
      </c>
      <c r="F240" s="35">
        <v>45666</v>
      </c>
      <c r="G240" s="35">
        <f t="shared" si="30"/>
        <v>45666</v>
      </c>
      <c r="H240" s="34"/>
      <c r="I240" s="48" t="s">
        <v>1117</v>
      </c>
      <c r="J240" s="48"/>
      <c r="K240" s="34"/>
      <c r="L240" s="34"/>
      <c r="M240" s="37"/>
      <c r="N240" s="37"/>
      <c r="O240" s="37">
        <v>181600</v>
      </c>
      <c r="P240" s="32"/>
    </row>
    <row r="241" spans="1:16">
      <c r="A241" s="32">
        <v>240</v>
      </c>
      <c r="B241" s="52" t="s">
        <v>784</v>
      </c>
      <c r="C241" s="34" t="s">
        <v>317</v>
      </c>
      <c r="D241" s="34" t="s">
        <v>795</v>
      </c>
      <c r="E241" s="34" t="s">
        <v>1118</v>
      </c>
      <c r="F241" s="35">
        <v>45679</v>
      </c>
      <c r="G241" s="35">
        <f t="shared" si="30"/>
        <v>45679</v>
      </c>
      <c r="H241" s="34"/>
      <c r="I241" s="48" t="s">
        <v>527</v>
      </c>
      <c r="J241" s="36"/>
      <c r="K241" s="34"/>
      <c r="L241" s="34"/>
      <c r="M241" s="37">
        <v>224658</v>
      </c>
      <c r="N241" s="37">
        <f t="shared" si="28"/>
        <v>40438.439999999995</v>
      </c>
      <c r="O241" s="37">
        <f t="shared" si="26"/>
        <v>265096.44</v>
      </c>
      <c r="P241" s="32"/>
    </row>
    <row r="242" spans="1:16">
      <c r="A242" s="32">
        <v>241</v>
      </c>
      <c r="B242" s="52" t="s">
        <v>784</v>
      </c>
      <c r="C242" s="34" t="s">
        <v>317</v>
      </c>
      <c r="D242" s="34" t="s">
        <v>795</v>
      </c>
      <c r="E242" s="34" t="s">
        <v>1118</v>
      </c>
      <c r="F242" s="35">
        <v>45679</v>
      </c>
      <c r="G242" s="35">
        <f t="shared" si="30"/>
        <v>45679</v>
      </c>
      <c r="H242" s="34"/>
      <c r="I242" s="48" t="s">
        <v>515</v>
      </c>
      <c r="J242" s="48"/>
      <c r="K242" s="34"/>
      <c r="L242" s="34"/>
      <c r="M242" s="37"/>
      <c r="N242" s="37"/>
      <c r="O242" s="37">
        <v>181600</v>
      </c>
      <c r="P242" s="32"/>
    </row>
    <row r="243" spans="1:16">
      <c r="A243" s="32">
        <v>242</v>
      </c>
      <c r="B243" s="52" t="s">
        <v>784</v>
      </c>
      <c r="C243" s="34" t="s">
        <v>317</v>
      </c>
      <c r="D243" s="34" t="s">
        <v>795</v>
      </c>
      <c r="E243" s="34" t="s">
        <v>1118</v>
      </c>
      <c r="F243" s="35">
        <v>45679</v>
      </c>
      <c r="G243" s="35">
        <f t="shared" si="30"/>
        <v>45679</v>
      </c>
      <c r="H243" s="34"/>
      <c r="I243" s="48" t="s">
        <v>1119</v>
      </c>
      <c r="J243" s="48"/>
      <c r="K243" s="34"/>
      <c r="L243" s="34"/>
      <c r="M243" s="37"/>
      <c r="N243" s="37"/>
      <c r="O243" s="37">
        <v>181600</v>
      </c>
      <c r="P243" s="32"/>
    </row>
    <row r="244" spans="1:16">
      <c r="A244" s="32">
        <v>243</v>
      </c>
      <c r="B244" s="52" t="s">
        <v>784</v>
      </c>
      <c r="C244" s="34" t="s">
        <v>317</v>
      </c>
      <c r="D244" s="34" t="s">
        <v>795</v>
      </c>
      <c r="E244" s="34" t="s">
        <v>1120</v>
      </c>
      <c r="F244" s="35">
        <v>45686</v>
      </c>
      <c r="G244" s="35">
        <f t="shared" si="30"/>
        <v>45686</v>
      </c>
      <c r="H244" s="34"/>
      <c r="I244" s="48" t="s">
        <v>1121</v>
      </c>
      <c r="J244" s="48" t="s">
        <v>792</v>
      </c>
      <c r="K244" s="34"/>
      <c r="L244" s="34"/>
      <c r="M244" s="37">
        <v>190524</v>
      </c>
      <c r="N244" s="37">
        <f t="shared" si="28"/>
        <v>34294.32</v>
      </c>
      <c r="O244" s="37">
        <f t="shared" si="26"/>
        <v>224818.32</v>
      </c>
      <c r="P244" s="34"/>
    </row>
    <row r="245" spans="1:16">
      <c r="A245" s="32">
        <v>244</v>
      </c>
      <c r="B245" s="52" t="s">
        <v>784</v>
      </c>
      <c r="C245" s="34" t="s">
        <v>317</v>
      </c>
      <c r="D245" s="34" t="s">
        <v>795</v>
      </c>
      <c r="E245" s="34" t="s">
        <v>1122</v>
      </c>
      <c r="F245" s="35">
        <v>45686</v>
      </c>
      <c r="G245" s="35">
        <f t="shared" si="30"/>
        <v>45686</v>
      </c>
      <c r="H245" s="34"/>
      <c r="I245" s="36" t="s">
        <v>1123</v>
      </c>
      <c r="J245" s="48"/>
      <c r="K245" s="34"/>
      <c r="L245" s="34"/>
      <c r="M245" s="37">
        <v>190524</v>
      </c>
      <c r="N245" s="37">
        <f t="shared" si="28"/>
        <v>34294.32</v>
      </c>
      <c r="O245" s="37">
        <f t="shared" si="26"/>
        <v>224818.32</v>
      </c>
      <c r="P245" s="34"/>
    </row>
    <row r="246" spans="1:16">
      <c r="A246" s="32">
        <v>245</v>
      </c>
      <c r="B246" s="52" t="s">
        <v>784</v>
      </c>
      <c r="C246" s="34" t="s">
        <v>317</v>
      </c>
      <c r="D246" s="34" t="s">
        <v>795</v>
      </c>
      <c r="E246" s="34" t="s">
        <v>1124</v>
      </c>
      <c r="F246" s="35">
        <v>45686</v>
      </c>
      <c r="G246" s="35">
        <f t="shared" si="30"/>
        <v>45686</v>
      </c>
      <c r="H246" s="34"/>
      <c r="I246" s="48" t="s">
        <v>1125</v>
      </c>
      <c r="J246" s="48"/>
      <c r="K246" s="34"/>
      <c r="L246" s="34"/>
      <c r="M246" s="37">
        <v>224658</v>
      </c>
      <c r="N246" s="37">
        <f t="shared" si="28"/>
        <v>40438.439999999995</v>
      </c>
      <c r="O246" s="37">
        <f t="shared" si="26"/>
        <v>265096.44</v>
      </c>
      <c r="P246" s="32"/>
    </row>
    <row r="247" spans="1:16">
      <c r="A247" s="32">
        <v>246</v>
      </c>
      <c r="B247" s="52" t="s">
        <v>784</v>
      </c>
      <c r="C247" s="34" t="s">
        <v>317</v>
      </c>
      <c r="D247" s="34" t="s">
        <v>795</v>
      </c>
      <c r="E247" s="34" t="s">
        <v>1124</v>
      </c>
      <c r="F247" s="35">
        <v>45686</v>
      </c>
      <c r="G247" s="35">
        <f t="shared" si="30"/>
        <v>45686</v>
      </c>
      <c r="H247" s="34"/>
      <c r="I247" s="48" t="s">
        <v>1126</v>
      </c>
      <c r="J247" s="48"/>
      <c r="K247" s="34"/>
      <c r="L247" s="34"/>
      <c r="M247" s="37"/>
      <c r="N247" s="37"/>
      <c r="O247" s="37">
        <v>181600</v>
      </c>
      <c r="P247" s="32"/>
    </row>
    <row r="248" spans="1:16">
      <c r="A248" s="32">
        <v>247</v>
      </c>
      <c r="B248" s="52" t="s">
        <v>784</v>
      </c>
      <c r="C248" s="34" t="s">
        <v>317</v>
      </c>
      <c r="D248" s="34" t="s">
        <v>795</v>
      </c>
      <c r="E248" s="34" t="s">
        <v>1124</v>
      </c>
      <c r="F248" s="35">
        <v>45686</v>
      </c>
      <c r="G248" s="35">
        <f t="shared" si="30"/>
        <v>45686</v>
      </c>
      <c r="H248" s="34"/>
      <c r="I248" s="36" t="s">
        <v>618</v>
      </c>
      <c r="J248" s="48"/>
      <c r="K248" s="34"/>
      <c r="L248" s="34"/>
      <c r="M248" s="37"/>
      <c r="N248" s="37"/>
      <c r="O248" s="37">
        <v>181600</v>
      </c>
      <c r="P248" s="32"/>
    </row>
    <row r="249" spans="1:16">
      <c r="A249" s="32">
        <v>248</v>
      </c>
      <c r="B249" s="52" t="s">
        <v>784</v>
      </c>
      <c r="C249" s="34" t="s">
        <v>317</v>
      </c>
      <c r="D249" s="34" t="s">
        <v>795</v>
      </c>
      <c r="E249" s="34" t="s">
        <v>1127</v>
      </c>
      <c r="F249" s="35">
        <v>45686</v>
      </c>
      <c r="G249" s="35">
        <f t="shared" si="30"/>
        <v>45686</v>
      </c>
      <c r="H249" s="34"/>
      <c r="I249" s="48" t="s">
        <v>1128</v>
      </c>
      <c r="J249" s="36" t="s">
        <v>852</v>
      </c>
      <c r="K249" s="34"/>
      <c r="L249" s="34"/>
      <c r="M249" s="37">
        <v>224658</v>
      </c>
      <c r="N249" s="37">
        <f t="shared" si="28"/>
        <v>40438.439999999995</v>
      </c>
      <c r="O249" s="37">
        <f t="shared" si="26"/>
        <v>265096.44</v>
      </c>
      <c r="P249" s="32"/>
    </row>
    <row r="250" spans="1:16">
      <c r="A250" s="32">
        <v>249</v>
      </c>
      <c r="B250" s="52" t="s">
        <v>784</v>
      </c>
      <c r="C250" s="34" t="s">
        <v>317</v>
      </c>
      <c r="D250" s="34" t="s">
        <v>795</v>
      </c>
      <c r="E250" s="34" t="s">
        <v>1127</v>
      </c>
      <c r="F250" s="35">
        <v>45686</v>
      </c>
      <c r="G250" s="35">
        <f t="shared" si="30"/>
        <v>45686</v>
      </c>
      <c r="H250" s="34"/>
      <c r="I250" s="48" t="s">
        <v>1129</v>
      </c>
      <c r="J250" s="48" t="s">
        <v>792</v>
      </c>
      <c r="K250" s="34"/>
      <c r="L250" s="34"/>
      <c r="M250" s="37"/>
      <c r="N250" s="37"/>
      <c r="O250" s="37">
        <v>181600</v>
      </c>
      <c r="P250" s="32"/>
    </row>
    <row r="251" spans="1:16">
      <c r="A251" s="32">
        <v>250</v>
      </c>
      <c r="B251" s="52" t="s">
        <v>784</v>
      </c>
      <c r="C251" s="34" t="s">
        <v>317</v>
      </c>
      <c r="D251" s="34" t="s">
        <v>795</v>
      </c>
      <c r="E251" s="34" t="s">
        <v>1127</v>
      </c>
      <c r="F251" s="35">
        <v>45686</v>
      </c>
      <c r="G251" s="35">
        <f t="shared" si="30"/>
        <v>45686</v>
      </c>
      <c r="H251" s="34"/>
      <c r="I251" s="36" t="s">
        <v>1130</v>
      </c>
      <c r="J251" s="48" t="s">
        <v>792</v>
      </c>
      <c r="K251" s="34"/>
      <c r="L251" s="34"/>
      <c r="M251" s="37"/>
      <c r="N251" s="37"/>
      <c r="O251" s="37">
        <v>181600</v>
      </c>
      <c r="P251" s="32"/>
    </row>
    <row r="252" spans="1:16">
      <c r="A252" s="32">
        <v>251</v>
      </c>
      <c r="B252" s="52" t="s">
        <v>784</v>
      </c>
      <c r="C252" s="32" t="s">
        <v>317</v>
      </c>
      <c r="D252" s="32" t="s">
        <v>795</v>
      </c>
      <c r="E252" s="32" t="s">
        <v>1131</v>
      </c>
      <c r="F252" s="53">
        <v>45688</v>
      </c>
      <c r="G252" s="35">
        <f t="shared" si="30"/>
        <v>45688</v>
      </c>
      <c r="H252" s="32"/>
      <c r="I252" s="48" t="s">
        <v>1132</v>
      </c>
      <c r="J252" s="44" t="s">
        <v>792</v>
      </c>
      <c r="K252" s="32"/>
      <c r="L252" s="32"/>
      <c r="M252" s="54">
        <v>190524</v>
      </c>
      <c r="N252" s="54">
        <v>34294.32</v>
      </c>
      <c r="O252" s="37">
        <f t="shared" si="26"/>
        <v>224818.32</v>
      </c>
      <c r="P252" s="32"/>
    </row>
    <row r="253" spans="1:16">
      <c r="A253" s="32">
        <v>252</v>
      </c>
      <c r="B253" s="52" t="s">
        <v>784</v>
      </c>
      <c r="C253" s="34" t="s">
        <v>317</v>
      </c>
      <c r="D253" s="34" t="s">
        <v>795</v>
      </c>
      <c r="E253" s="34" t="s">
        <v>1133</v>
      </c>
      <c r="F253" s="35">
        <v>45693</v>
      </c>
      <c r="G253" s="35">
        <f t="shared" si="30"/>
        <v>45693</v>
      </c>
      <c r="H253" s="34"/>
      <c r="I253" s="48" t="s">
        <v>1134</v>
      </c>
      <c r="J253" s="36"/>
      <c r="K253" s="34"/>
      <c r="L253" s="34"/>
      <c r="M253" s="37">
        <v>190524</v>
      </c>
      <c r="N253" s="37">
        <f t="shared" si="28"/>
        <v>34294.32</v>
      </c>
      <c r="O253" s="37">
        <f t="shared" si="26"/>
        <v>224818.32</v>
      </c>
      <c r="P253" s="34"/>
    </row>
    <row r="254" spans="1:16">
      <c r="A254" s="32">
        <v>253</v>
      </c>
      <c r="B254" s="52" t="s">
        <v>784</v>
      </c>
      <c r="C254" s="34" t="s">
        <v>630</v>
      </c>
      <c r="D254" s="34" t="s">
        <v>795</v>
      </c>
      <c r="E254" s="34" t="s">
        <v>1133</v>
      </c>
      <c r="F254" s="35">
        <v>45693</v>
      </c>
      <c r="G254" s="35">
        <f t="shared" si="30"/>
        <v>45693</v>
      </c>
      <c r="H254" s="34"/>
      <c r="I254" s="36" t="s">
        <v>1135</v>
      </c>
      <c r="J254" s="48"/>
      <c r="K254" s="34"/>
      <c r="L254" s="34"/>
      <c r="M254" s="37">
        <v>34134</v>
      </c>
      <c r="N254" s="37">
        <f t="shared" si="28"/>
        <v>6144.12</v>
      </c>
      <c r="O254" s="37">
        <f t="shared" si="26"/>
        <v>40278.120000000003</v>
      </c>
      <c r="P254" s="34"/>
    </row>
    <row r="255" spans="1:16">
      <c r="A255" s="32">
        <v>254</v>
      </c>
      <c r="B255" s="52" t="s">
        <v>784</v>
      </c>
      <c r="C255" s="34" t="s">
        <v>630</v>
      </c>
      <c r="D255" s="34" t="s">
        <v>795</v>
      </c>
      <c r="E255" s="34" t="s">
        <v>1133</v>
      </c>
      <c r="F255" s="35">
        <v>45693</v>
      </c>
      <c r="G255" s="35">
        <f t="shared" si="30"/>
        <v>45693</v>
      </c>
      <c r="H255" s="34"/>
      <c r="I255" s="48" t="s">
        <v>1136</v>
      </c>
      <c r="J255" s="48"/>
      <c r="K255" s="34"/>
      <c r="L255" s="34"/>
      <c r="M255" s="37"/>
      <c r="N255" s="37"/>
      <c r="O255" s="37">
        <f t="shared" si="26"/>
        <v>0</v>
      </c>
      <c r="P255" s="34"/>
    </row>
    <row r="256" spans="1:16">
      <c r="A256" s="32">
        <v>255</v>
      </c>
      <c r="B256" s="52" t="s">
        <v>784</v>
      </c>
      <c r="C256" s="34" t="s">
        <v>317</v>
      </c>
      <c r="D256" s="34" t="s">
        <v>795</v>
      </c>
      <c r="E256" s="34" t="s">
        <v>1137</v>
      </c>
      <c r="F256" s="35">
        <v>45693</v>
      </c>
      <c r="G256" s="35">
        <v>45702</v>
      </c>
      <c r="H256" s="34"/>
      <c r="I256" s="36" t="s">
        <v>1138</v>
      </c>
      <c r="J256" s="36" t="s">
        <v>792</v>
      </c>
      <c r="K256" s="34"/>
      <c r="L256" s="34"/>
      <c r="M256" s="37">
        <v>190524</v>
      </c>
      <c r="N256" s="37">
        <f t="shared" si="28"/>
        <v>34294.32</v>
      </c>
      <c r="O256" s="37">
        <f t="shared" si="26"/>
        <v>224818.32</v>
      </c>
      <c r="P256" s="34"/>
    </row>
    <row r="257" spans="1:16">
      <c r="A257" s="32">
        <v>256</v>
      </c>
      <c r="B257" s="52" t="s">
        <v>784</v>
      </c>
      <c r="C257" s="34" t="s">
        <v>630</v>
      </c>
      <c r="D257" s="34" t="s">
        <v>795</v>
      </c>
      <c r="E257" s="34" t="s">
        <v>1137</v>
      </c>
      <c r="F257" s="35">
        <v>45693</v>
      </c>
      <c r="G257" s="35">
        <f>F257</f>
        <v>45693</v>
      </c>
      <c r="H257" s="34"/>
      <c r="I257" s="48" t="s">
        <v>1139</v>
      </c>
      <c r="J257" s="48" t="s">
        <v>792</v>
      </c>
      <c r="K257" s="34"/>
      <c r="L257" s="34"/>
      <c r="M257" s="37">
        <v>34134</v>
      </c>
      <c r="N257" s="37">
        <f t="shared" si="28"/>
        <v>6144.12</v>
      </c>
      <c r="O257" s="37">
        <f t="shared" si="26"/>
        <v>40278.120000000003</v>
      </c>
      <c r="P257" s="34"/>
    </row>
    <row r="258" spans="1:16">
      <c r="A258" s="32">
        <v>257</v>
      </c>
      <c r="B258" s="52" t="s">
        <v>784</v>
      </c>
      <c r="C258" s="34" t="s">
        <v>630</v>
      </c>
      <c r="D258" s="34" t="s">
        <v>795</v>
      </c>
      <c r="E258" s="34" t="s">
        <v>1137</v>
      </c>
      <c r="F258" s="35">
        <v>45693</v>
      </c>
      <c r="G258" s="35">
        <f>F258</f>
        <v>45693</v>
      </c>
      <c r="H258" s="34"/>
      <c r="I258" s="48" t="s">
        <v>1140</v>
      </c>
      <c r="J258" s="48" t="s">
        <v>792</v>
      </c>
      <c r="K258" s="34"/>
      <c r="L258" s="34"/>
      <c r="M258" s="37"/>
      <c r="N258" s="37"/>
      <c r="O258" s="37">
        <f t="shared" si="26"/>
        <v>0</v>
      </c>
      <c r="P258" s="34"/>
    </row>
    <row r="259" spans="1:16">
      <c r="A259" s="32">
        <v>258</v>
      </c>
      <c r="B259" s="52" t="s">
        <v>784</v>
      </c>
      <c r="C259" s="34" t="s">
        <v>317</v>
      </c>
      <c r="D259" s="34" t="s">
        <v>795</v>
      </c>
      <c r="E259" s="34" t="s">
        <v>1141</v>
      </c>
      <c r="F259" s="35">
        <v>45693</v>
      </c>
      <c r="G259" s="35">
        <f>F259</f>
        <v>45693</v>
      </c>
      <c r="H259" s="34"/>
      <c r="I259" s="36" t="s">
        <v>1142</v>
      </c>
      <c r="J259" s="36" t="s">
        <v>792</v>
      </c>
      <c r="K259" s="34"/>
      <c r="L259" s="34"/>
      <c r="M259" s="37">
        <v>190524</v>
      </c>
      <c r="N259" s="37">
        <f t="shared" ref="N259:N262" si="31">M259*18%</f>
        <v>34294.32</v>
      </c>
      <c r="O259" s="37">
        <f t="shared" ref="O259:O322" si="32">SUM(M259:N259)</f>
        <v>224818.32</v>
      </c>
      <c r="P259" s="34"/>
    </row>
    <row r="260" spans="1:16">
      <c r="A260" s="32">
        <v>259</v>
      </c>
      <c r="B260" s="52" t="s">
        <v>784</v>
      </c>
      <c r="C260" s="34" t="s">
        <v>630</v>
      </c>
      <c r="D260" s="34" t="s">
        <v>795</v>
      </c>
      <c r="E260" s="34" t="s">
        <v>1141</v>
      </c>
      <c r="F260" s="35">
        <v>45693</v>
      </c>
      <c r="G260" s="35">
        <f t="shared" ref="G260:G278" si="33">F260</f>
        <v>45693</v>
      </c>
      <c r="H260" s="34"/>
      <c r="I260" s="36" t="s">
        <v>592</v>
      </c>
      <c r="J260" s="48"/>
      <c r="K260" s="34"/>
      <c r="L260" s="34"/>
      <c r="M260" s="37">
        <v>17067</v>
      </c>
      <c r="N260" s="37">
        <f t="shared" si="31"/>
        <v>3072.06</v>
      </c>
      <c r="O260" s="37">
        <f t="shared" si="32"/>
        <v>20139.060000000001</v>
      </c>
      <c r="P260" s="34"/>
    </row>
    <row r="261" spans="1:16">
      <c r="A261" s="32">
        <v>260</v>
      </c>
      <c r="B261" s="52" t="s">
        <v>784</v>
      </c>
      <c r="C261" s="34" t="s">
        <v>317</v>
      </c>
      <c r="D261" s="34" t="s">
        <v>795</v>
      </c>
      <c r="E261" s="34" t="s">
        <v>1143</v>
      </c>
      <c r="F261" s="35">
        <v>45693</v>
      </c>
      <c r="G261" s="35">
        <f t="shared" si="33"/>
        <v>45693</v>
      </c>
      <c r="H261" s="34"/>
      <c r="I261" s="48" t="s">
        <v>1144</v>
      </c>
      <c r="J261" s="36" t="s">
        <v>792</v>
      </c>
      <c r="K261" s="34"/>
      <c r="L261" s="34"/>
      <c r="M261" s="37">
        <v>190524</v>
      </c>
      <c r="N261" s="37">
        <f t="shared" si="31"/>
        <v>34294.32</v>
      </c>
      <c r="O261" s="37">
        <f t="shared" si="32"/>
        <v>224818.32</v>
      </c>
      <c r="P261" s="34"/>
    </row>
    <row r="262" spans="1:16">
      <c r="A262" s="32">
        <v>261</v>
      </c>
      <c r="B262" s="52" t="s">
        <v>784</v>
      </c>
      <c r="C262" s="34" t="s">
        <v>630</v>
      </c>
      <c r="D262" s="34" t="s">
        <v>795</v>
      </c>
      <c r="E262" s="34" t="s">
        <v>1143</v>
      </c>
      <c r="F262" s="35">
        <v>45693</v>
      </c>
      <c r="G262" s="35">
        <f t="shared" si="33"/>
        <v>45693</v>
      </c>
      <c r="H262" s="34"/>
      <c r="I262" s="36" t="s">
        <v>579</v>
      </c>
      <c r="J262" s="48" t="s">
        <v>792</v>
      </c>
      <c r="K262" s="34"/>
      <c r="L262" s="34"/>
      <c r="M262" s="37">
        <v>34134</v>
      </c>
      <c r="N262" s="37">
        <f t="shared" si="31"/>
        <v>6144.12</v>
      </c>
      <c r="O262" s="37">
        <f t="shared" si="32"/>
        <v>40278.120000000003</v>
      </c>
      <c r="P262" s="34"/>
    </row>
    <row r="263" spans="1:16">
      <c r="A263" s="32">
        <v>262</v>
      </c>
      <c r="B263" s="52" t="s">
        <v>784</v>
      </c>
      <c r="C263" s="34" t="s">
        <v>630</v>
      </c>
      <c r="D263" s="34" t="s">
        <v>795</v>
      </c>
      <c r="E263" s="34" t="s">
        <v>1143</v>
      </c>
      <c r="F263" s="35">
        <v>45693</v>
      </c>
      <c r="G263" s="35">
        <f t="shared" si="33"/>
        <v>45693</v>
      </c>
      <c r="H263" s="34"/>
      <c r="I263" s="48" t="s">
        <v>1145</v>
      </c>
      <c r="J263" s="48" t="s">
        <v>792</v>
      </c>
      <c r="K263" s="34"/>
      <c r="L263" s="34"/>
      <c r="M263" s="37"/>
      <c r="N263" s="37"/>
      <c r="O263" s="37">
        <f t="shared" si="32"/>
        <v>0</v>
      </c>
      <c r="P263" s="34"/>
    </row>
    <row r="264" spans="1:16">
      <c r="A264" s="32">
        <v>263</v>
      </c>
      <c r="B264" s="52" t="s">
        <v>784</v>
      </c>
      <c r="C264" s="34" t="s">
        <v>317</v>
      </c>
      <c r="D264" s="34" t="s">
        <v>795</v>
      </c>
      <c r="E264" s="34" t="s">
        <v>1146</v>
      </c>
      <c r="F264" s="35">
        <v>45694</v>
      </c>
      <c r="G264" s="35">
        <f t="shared" si="33"/>
        <v>45694</v>
      </c>
      <c r="H264" s="34"/>
      <c r="I264" s="48" t="s">
        <v>1147</v>
      </c>
      <c r="J264" s="48" t="s">
        <v>792</v>
      </c>
      <c r="K264" s="34"/>
      <c r="L264" s="34"/>
      <c r="M264" s="37">
        <v>190524</v>
      </c>
      <c r="N264" s="37">
        <f t="shared" ref="N264:N266" si="34">M264*18%</f>
        <v>34294.32</v>
      </c>
      <c r="O264" s="37">
        <f t="shared" si="32"/>
        <v>224818.32</v>
      </c>
      <c r="P264" s="34"/>
    </row>
    <row r="265" spans="1:16">
      <c r="A265" s="32">
        <v>264</v>
      </c>
      <c r="B265" s="52" t="s">
        <v>784</v>
      </c>
      <c r="C265" s="32" t="s">
        <v>317</v>
      </c>
      <c r="D265" s="32" t="s">
        <v>795</v>
      </c>
      <c r="E265" s="32" t="s">
        <v>1148</v>
      </c>
      <c r="F265" s="53">
        <v>45694</v>
      </c>
      <c r="G265" s="35">
        <f t="shared" si="33"/>
        <v>45694</v>
      </c>
      <c r="H265" s="32"/>
      <c r="I265" s="36" t="s">
        <v>319</v>
      </c>
      <c r="J265" s="47" t="s">
        <v>792</v>
      </c>
      <c r="K265" s="32"/>
      <c r="L265" s="32"/>
      <c r="M265" s="54">
        <v>190524</v>
      </c>
      <c r="N265" s="54">
        <f t="shared" si="34"/>
        <v>34294.32</v>
      </c>
      <c r="O265" s="37">
        <f t="shared" si="32"/>
        <v>224818.32</v>
      </c>
      <c r="P265" s="32"/>
    </row>
    <row r="266" spans="1:16">
      <c r="A266" s="32">
        <v>265</v>
      </c>
      <c r="B266" s="52" t="s">
        <v>784</v>
      </c>
      <c r="C266" s="32" t="s">
        <v>317</v>
      </c>
      <c r="D266" s="32" t="s">
        <v>795</v>
      </c>
      <c r="E266" s="32" t="s">
        <v>1148</v>
      </c>
      <c r="F266" s="53">
        <v>45694</v>
      </c>
      <c r="G266" s="35">
        <f t="shared" si="33"/>
        <v>45694</v>
      </c>
      <c r="H266" s="32"/>
      <c r="I266" s="36" t="s">
        <v>425</v>
      </c>
      <c r="J266" s="48" t="s">
        <v>792</v>
      </c>
      <c r="K266" s="32"/>
      <c r="L266" s="32"/>
      <c r="M266" s="54">
        <v>34134</v>
      </c>
      <c r="N266" s="54">
        <f t="shared" si="34"/>
        <v>6144.12</v>
      </c>
      <c r="O266" s="37">
        <f t="shared" si="32"/>
        <v>40278.120000000003</v>
      </c>
      <c r="P266" s="32"/>
    </row>
    <row r="267" spans="1:16">
      <c r="A267" s="32">
        <v>266</v>
      </c>
      <c r="B267" s="52" t="s">
        <v>784</v>
      </c>
      <c r="C267" s="32" t="s">
        <v>317</v>
      </c>
      <c r="D267" s="32" t="s">
        <v>795</v>
      </c>
      <c r="E267" s="32" t="s">
        <v>1148</v>
      </c>
      <c r="F267" s="53">
        <v>45694</v>
      </c>
      <c r="G267" s="35">
        <f t="shared" si="33"/>
        <v>45694</v>
      </c>
      <c r="H267" s="32"/>
      <c r="I267" s="48" t="s">
        <v>580</v>
      </c>
      <c r="J267" s="48" t="s">
        <v>792</v>
      </c>
      <c r="K267" s="32"/>
      <c r="L267" s="32"/>
      <c r="M267" s="54"/>
      <c r="N267" s="54"/>
      <c r="O267" s="37">
        <v>181600</v>
      </c>
      <c r="P267" s="32"/>
    </row>
    <row r="268" spans="1:16">
      <c r="A268" s="32">
        <v>267</v>
      </c>
      <c r="B268" s="52" t="s">
        <v>784</v>
      </c>
      <c r="C268" s="34" t="s">
        <v>317</v>
      </c>
      <c r="D268" s="34" t="s">
        <v>795</v>
      </c>
      <c r="E268" s="34" t="s">
        <v>1149</v>
      </c>
      <c r="F268" s="35">
        <v>45701</v>
      </c>
      <c r="G268" s="35">
        <f t="shared" si="33"/>
        <v>45701</v>
      </c>
      <c r="H268" s="34"/>
      <c r="I268" s="36" t="s">
        <v>415</v>
      </c>
      <c r="J268" s="36" t="s">
        <v>792</v>
      </c>
      <c r="K268" s="34"/>
      <c r="L268" s="34"/>
      <c r="M268" s="37">
        <v>148715</v>
      </c>
      <c r="N268" s="37">
        <f t="shared" ref="N268:N333" si="35">M268*18%</f>
        <v>26768.7</v>
      </c>
      <c r="O268" s="37">
        <f t="shared" si="32"/>
        <v>175483.7</v>
      </c>
      <c r="P268" s="34"/>
    </row>
    <row r="269" spans="1:16">
      <c r="A269" s="32">
        <v>268</v>
      </c>
      <c r="B269" s="52" t="s">
        <v>784</v>
      </c>
      <c r="C269" s="34" t="s">
        <v>317</v>
      </c>
      <c r="D269" s="34" t="s">
        <v>795</v>
      </c>
      <c r="E269" s="34" t="s">
        <v>1150</v>
      </c>
      <c r="F269" s="35">
        <v>45724</v>
      </c>
      <c r="G269" s="35">
        <f t="shared" si="33"/>
        <v>45724</v>
      </c>
      <c r="H269" s="34"/>
      <c r="I269" s="48" t="s">
        <v>626</v>
      </c>
      <c r="J269" s="36"/>
      <c r="K269" s="34"/>
      <c r="L269" s="34"/>
      <c r="M269" s="37">
        <v>69237.289999999994</v>
      </c>
      <c r="N269" s="37">
        <f t="shared" si="35"/>
        <v>12462.712199999998</v>
      </c>
      <c r="O269" s="37">
        <f t="shared" si="32"/>
        <v>81700.002199999988</v>
      </c>
      <c r="P269" s="34"/>
    </row>
    <row r="270" spans="1:16">
      <c r="A270" s="32">
        <v>269</v>
      </c>
      <c r="B270" s="52" t="s">
        <v>784</v>
      </c>
      <c r="C270" s="34" t="s">
        <v>317</v>
      </c>
      <c r="D270" s="34" t="s">
        <v>795</v>
      </c>
      <c r="E270" s="34" t="s">
        <v>1151</v>
      </c>
      <c r="F270" s="35">
        <v>45724</v>
      </c>
      <c r="G270" s="35">
        <f t="shared" si="33"/>
        <v>45724</v>
      </c>
      <c r="H270" s="34"/>
      <c r="I270" s="48" t="s">
        <v>1152</v>
      </c>
      <c r="J270" s="48" t="s">
        <v>792</v>
      </c>
      <c r="K270" s="34"/>
      <c r="L270" s="34"/>
      <c r="M270" s="37">
        <v>190524</v>
      </c>
      <c r="N270" s="37">
        <f t="shared" si="35"/>
        <v>34294.32</v>
      </c>
      <c r="O270" s="37">
        <f t="shared" si="32"/>
        <v>224818.32</v>
      </c>
      <c r="P270" s="34"/>
    </row>
    <row r="271" spans="1:16">
      <c r="A271" s="32">
        <v>270</v>
      </c>
      <c r="B271" s="52" t="s">
        <v>784</v>
      </c>
      <c r="C271" s="34" t="s">
        <v>317</v>
      </c>
      <c r="D271" s="34" t="s">
        <v>795</v>
      </c>
      <c r="E271" s="34" t="s">
        <v>1153</v>
      </c>
      <c r="F271" s="35">
        <v>45724</v>
      </c>
      <c r="G271" s="35">
        <f t="shared" si="33"/>
        <v>45724</v>
      </c>
      <c r="H271" s="34"/>
      <c r="I271" s="48" t="s">
        <v>631</v>
      </c>
      <c r="J271" s="36"/>
      <c r="K271" s="34"/>
      <c r="L271" s="34"/>
      <c r="M271" s="37">
        <v>190524</v>
      </c>
      <c r="N271" s="37">
        <f t="shared" si="35"/>
        <v>34294.32</v>
      </c>
      <c r="O271" s="37">
        <f t="shared" si="32"/>
        <v>224818.32</v>
      </c>
      <c r="P271" s="34"/>
    </row>
    <row r="272" spans="1:16">
      <c r="A272" s="32">
        <v>271</v>
      </c>
      <c r="B272" s="52" t="s">
        <v>784</v>
      </c>
      <c r="C272" s="34" t="s">
        <v>630</v>
      </c>
      <c r="D272" s="34" t="s">
        <v>795</v>
      </c>
      <c r="E272" s="34" t="s">
        <v>1153</v>
      </c>
      <c r="F272" s="35">
        <v>45724</v>
      </c>
      <c r="G272" s="35">
        <f t="shared" si="33"/>
        <v>45724</v>
      </c>
      <c r="H272" s="34"/>
      <c r="I272" s="36" t="s">
        <v>442</v>
      </c>
      <c r="J272" s="48"/>
      <c r="K272" s="34"/>
      <c r="L272" s="34"/>
      <c r="M272" s="37">
        <v>34134</v>
      </c>
      <c r="N272" s="37">
        <f t="shared" si="35"/>
        <v>6144.12</v>
      </c>
      <c r="O272" s="37">
        <f t="shared" si="32"/>
        <v>40278.120000000003</v>
      </c>
      <c r="P272" s="34"/>
    </row>
    <row r="273" spans="1:16">
      <c r="A273" s="32">
        <v>272</v>
      </c>
      <c r="B273" s="52" t="s">
        <v>784</v>
      </c>
      <c r="C273" s="34" t="s">
        <v>630</v>
      </c>
      <c r="D273" s="34" t="s">
        <v>795</v>
      </c>
      <c r="E273" s="34" t="s">
        <v>1153</v>
      </c>
      <c r="F273" s="35">
        <v>45724</v>
      </c>
      <c r="G273" s="35">
        <f t="shared" si="33"/>
        <v>45724</v>
      </c>
      <c r="H273" s="34"/>
      <c r="I273" s="48" t="s">
        <v>1154</v>
      </c>
      <c r="J273" s="48"/>
      <c r="K273" s="34"/>
      <c r="L273" s="34"/>
      <c r="M273" s="37"/>
      <c r="N273" s="37"/>
      <c r="O273" s="37">
        <f t="shared" si="32"/>
        <v>0</v>
      </c>
      <c r="P273" s="34"/>
    </row>
    <row r="274" spans="1:16">
      <c r="A274" s="32">
        <v>273</v>
      </c>
      <c r="B274" s="52" t="s">
        <v>784</v>
      </c>
      <c r="C274" s="34" t="s">
        <v>317</v>
      </c>
      <c r="D274" s="34" t="s">
        <v>795</v>
      </c>
      <c r="E274" s="34" t="s">
        <v>1155</v>
      </c>
      <c r="F274" s="35">
        <v>45724</v>
      </c>
      <c r="G274" s="35">
        <f t="shared" si="33"/>
        <v>45724</v>
      </c>
      <c r="H274" s="34"/>
      <c r="I274" s="48" t="s">
        <v>1156</v>
      </c>
      <c r="J274" s="36"/>
      <c r="K274" s="34"/>
      <c r="L274" s="34"/>
      <c r="M274" s="37">
        <v>190524</v>
      </c>
      <c r="N274" s="37">
        <f t="shared" si="35"/>
        <v>34294.32</v>
      </c>
      <c r="O274" s="37">
        <f t="shared" si="32"/>
        <v>224818.32</v>
      </c>
      <c r="P274" s="34"/>
    </row>
    <row r="275" spans="1:16">
      <c r="A275" s="32">
        <v>274</v>
      </c>
      <c r="B275" s="52" t="s">
        <v>784</v>
      </c>
      <c r="C275" s="34" t="s">
        <v>317</v>
      </c>
      <c r="D275" s="34" t="s">
        <v>795</v>
      </c>
      <c r="E275" s="34" t="s">
        <v>1157</v>
      </c>
      <c r="F275" s="35">
        <v>45733</v>
      </c>
      <c r="G275" s="35">
        <f t="shared" si="33"/>
        <v>45733</v>
      </c>
      <c r="H275" s="34"/>
      <c r="I275" s="48" t="s">
        <v>1158</v>
      </c>
      <c r="J275" s="36"/>
      <c r="K275" s="34"/>
      <c r="L275" s="34"/>
      <c r="M275" s="37">
        <v>190524</v>
      </c>
      <c r="N275" s="37">
        <f t="shared" si="35"/>
        <v>34294.32</v>
      </c>
      <c r="O275" s="37">
        <f t="shared" si="32"/>
        <v>224818.32</v>
      </c>
      <c r="P275" s="34"/>
    </row>
    <row r="276" spans="1:16">
      <c r="A276" s="32">
        <v>275</v>
      </c>
      <c r="B276" s="52" t="s">
        <v>784</v>
      </c>
      <c r="C276" s="34" t="s">
        <v>317</v>
      </c>
      <c r="D276" s="34" t="s">
        <v>795</v>
      </c>
      <c r="E276" s="34" t="s">
        <v>1159</v>
      </c>
      <c r="F276" s="35">
        <v>45734</v>
      </c>
      <c r="G276" s="35">
        <f t="shared" si="33"/>
        <v>45734</v>
      </c>
      <c r="H276" s="34"/>
      <c r="I276" s="48" t="s">
        <v>588</v>
      </c>
      <c r="J276" s="48"/>
      <c r="K276" s="34"/>
      <c r="L276" s="34"/>
      <c r="M276" s="37">
        <v>190524</v>
      </c>
      <c r="N276" s="37">
        <f t="shared" si="35"/>
        <v>34294.32</v>
      </c>
      <c r="O276" s="37">
        <f t="shared" si="32"/>
        <v>224818.32</v>
      </c>
      <c r="P276" s="34"/>
    </row>
    <row r="277" spans="1:16">
      <c r="A277" s="32">
        <v>276</v>
      </c>
      <c r="B277" s="52" t="s">
        <v>784</v>
      </c>
      <c r="C277" s="34" t="s">
        <v>630</v>
      </c>
      <c r="D277" s="34" t="s">
        <v>795</v>
      </c>
      <c r="E277" s="34" t="s">
        <v>1159</v>
      </c>
      <c r="F277" s="35">
        <v>45734</v>
      </c>
      <c r="G277" s="35">
        <f t="shared" si="33"/>
        <v>45734</v>
      </c>
      <c r="H277" s="34"/>
      <c r="I277" s="48" t="s">
        <v>463</v>
      </c>
      <c r="J277" s="48" t="s">
        <v>852</v>
      </c>
      <c r="K277" s="34"/>
      <c r="L277" s="34"/>
      <c r="M277" s="37">
        <v>34134</v>
      </c>
      <c r="N277" s="37">
        <f t="shared" si="35"/>
        <v>6144.12</v>
      </c>
      <c r="O277" s="37">
        <f t="shared" si="32"/>
        <v>40278.120000000003</v>
      </c>
      <c r="P277" s="34"/>
    </row>
    <row r="278" spans="1:16">
      <c r="A278" s="32">
        <v>277</v>
      </c>
      <c r="B278" s="52" t="s">
        <v>784</v>
      </c>
      <c r="C278" s="34" t="s">
        <v>630</v>
      </c>
      <c r="D278" s="34" t="s">
        <v>795</v>
      </c>
      <c r="E278" s="34" t="s">
        <v>1159</v>
      </c>
      <c r="F278" s="35">
        <v>45734</v>
      </c>
      <c r="G278" s="35">
        <f t="shared" si="33"/>
        <v>45734</v>
      </c>
      <c r="H278" s="34"/>
      <c r="I278" s="36" t="s">
        <v>619</v>
      </c>
      <c r="J278" s="48" t="s">
        <v>852</v>
      </c>
      <c r="K278" s="34"/>
      <c r="L278" s="34"/>
      <c r="M278" s="37"/>
      <c r="N278" s="37"/>
      <c r="O278" s="37">
        <f t="shared" si="32"/>
        <v>0</v>
      </c>
      <c r="P278" s="34"/>
    </row>
    <row r="279" spans="1:16">
      <c r="A279" s="32">
        <v>278</v>
      </c>
      <c r="B279" s="52" t="s">
        <v>784</v>
      </c>
      <c r="C279" s="34" t="s">
        <v>317</v>
      </c>
      <c r="D279" s="34" t="s">
        <v>795</v>
      </c>
      <c r="E279" s="34" t="s">
        <v>1160</v>
      </c>
      <c r="F279" s="35">
        <v>45735</v>
      </c>
      <c r="G279" s="35">
        <v>45734</v>
      </c>
      <c r="H279" s="34"/>
      <c r="I279" s="48" t="s">
        <v>1161</v>
      </c>
      <c r="J279" s="36"/>
      <c r="K279" s="34"/>
      <c r="L279" s="34"/>
      <c r="M279" s="37">
        <v>190524</v>
      </c>
      <c r="N279" s="37">
        <f t="shared" si="35"/>
        <v>34294.32</v>
      </c>
      <c r="O279" s="37">
        <f t="shared" si="32"/>
        <v>224818.32</v>
      </c>
      <c r="P279" s="34"/>
    </row>
    <row r="280" spans="1:16">
      <c r="A280" s="32">
        <v>279</v>
      </c>
      <c r="B280" s="52" t="s">
        <v>784</v>
      </c>
      <c r="C280" s="34" t="s">
        <v>317</v>
      </c>
      <c r="D280" s="34" t="s">
        <v>795</v>
      </c>
      <c r="E280" s="34" t="s">
        <v>1162</v>
      </c>
      <c r="F280" s="35">
        <v>45740</v>
      </c>
      <c r="G280" s="35">
        <f>F280</f>
        <v>45740</v>
      </c>
      <c r="H280" s="34"/>
      <c r="I280" s="48" t="s">
        <v>1163</v>
      </c>
      <c r="J280" s="48"/>
      <c r="K280" s="34"/>
      <c r="L280" s="34"/>
      <c r="M280" s="37">
        <v>190524</v>
      </c>
      <c r="N280" s="37">
        <f t="shared" si="35"/>
        <v>34294.32</v>
      </c>
      <c r="O280" s="37">
        <f t="shared" si="32"/>
        <v>224818.32</v>
      </c>
      <c r="P280" s="34"/>
    </row>
    <row r="281" spans="1:16">
      <c r="A281" s="32">
        <v>280</v>
      </c>
      <c r="B281" s="52" t="s">
        <v>784</v>
      </c>
      <c r="C281" s="34" t="s">
        <v>630</v>
      </c>
      <c r="D281" s="34" t="s">
        <v>795</v>
      </c>
      <c r="E281" s="34" t="s">
        <v>1162</v>
      </c>
      <c r="F281" s="35">
        <v>45740</v>
      </c>
      <c r="G281" s="35">
        <f t="shared" ref="G281:G344" si="36">F281</f>
        <v>45740</v>
      </c>
      <c r="H281" s="34"/>
      <c r="I281" s="48" t="s">
        <v>1164</v>
      </c>
      <c r="J281" s="48"/>
      <c r="K281" s="34"/>
      <c r="L281" s="34"/>
      <c r="M281" s="37">
        <v>24500</v>
      </c>
      <c r="N281" s="37">
        <f t="shared" si="35"/>
        <v>4410</v>
      </c>
      <c r="O281" s="37">
        <f t="shared" si="32"/>
        <v>28910</v>
      </c>
      <c r="P281" s="34"/>
    </row>
    <row r="282" spans="1:16">
      <c r="A282" s="32">
        <v>281</v>
      </c>
      <c r="B282" s="52" t="s">
        <v>784</v>
      </c>
      <c r="C282" s="34" t="s">
        <v>630</v>
      </c>
      <c r="D282" s="34" t="s">
        <v>795</v>
      </c>
      <c r="E282" s="34" t="s">
        <v>1165</v>
      </c>
      <c r="F282" s="35">
        <v>45743</v>
      </c>
      <c r="G282" s="35">
        <f t="shared" si="36"/>
        <v>45743</v>
      </c>
      <c r="H282" s="34"/>
      <c r="I282" s="48" t="s">
        <v>1166</v>
      </c>
      <c r="J282" s="48"/>
      <c r="K282" s="34"/>
      <c r="L282" s="34"/>
      <c r="M282" s="37">
        <v>26750</v>
      </c>
      <c r="N282" s="37">
        <f t="shared" si="35"/>
        <v>4815</v>
      </c>
      <c r="O282" s="37">
        <f t="shared" si="32"/>
        <v>31565</v>
      </c>
      <c r="P282" s="34"/>
    </row>
    <row r="283" spans="1:16">
      <c r="A283" s="32">
        <v>282</v>
      </c>
      <c r="B283" s="52" t="s">
        <v>784</v>
      </c>
      <c r="C283" s="34" t="s">
        <v>317</v>
      </c>
      <c r="D283" s="34" t="s">
        <v>795</v>
      </c>
      <c r="E283" s="34" t="s">
        <v>1167</v>
      </c>
      <c r="F283" s="35">
        <v>45751</v>
      </c>
      <c r="G283" s="35">
        <f t="shared" si="36"/>
        <v>45751</v>
      </c>
      <c r="H283" s="34"/>
      <c r="I283" s="48" t="s">
        <v>1168</v>
      </c>
      <c r="J283" s="36"/>
      <c r="K283" s="34"/>
      <c r="L283" s="34"/>
      <c r="M283" s="37">
        <v>190524</v>
      </c>
      <c r="N283" s="37">
        <f t="shared" si="35"/>
        <v>34294.32</v>
      </c>
      <c r="O283" s="37">
        <f t="shared" si="32"/>
        <v>224818.32</v>
      </c>
      <c r="P283" s="34"/>
    </row>
    <row r="284" spans="1:16">
      <c r="A284" s="32">
        <v>283</v>
      </c>
      <c r="B284" s="52" t="s">
        <v>784</v>
      </c>
      <c r="C284" s="34" t="s">
        <v>317</v>
      </c>
      <c r="D284" s="34" t="s">
        <v>795</v>
      </c>
      <c r="E284" s="34" t="s">
        <v>1169</v>
      </c>
      <c r="F284" s="35">
        <v>45751</v>
      </c>
      <c r="G284" s="35">
        <f t="shared" si="36"/>
        <v>45751</v>
      </c>
      <c r="H284" s="34"/>
      <c r="I284" s="36" t="s">
        <v>1170</v>
      </c>
      <c r="J284" s="48" t="s">
        <v>852</v>
      </c>
      <c r="K284" s="34"/>
      <c r="L284" s="34"/>
      <c r="M284" s="37">
        <v>190524</v>
      </c>
      <c r="N284" s="37">
        <f t="shared" si="35"/>
        <v>34294.32</v>
      </c>
      <c r="O284" s="37">
        <f t="shared" si="32"/>
        <v>224818.32</v>
      </c>
      <c r="P284" s="34"/>
    </row>
    <row r="285" spans="1:16">
      <c r="A285" s="32">
        <v>284</v>
      </c>
      <c r="B285" s="52" t="s">
        <v>784</v>
      </c>
      <c r="C285" s="34" t="s">
        <v>630</v>
      </c>
      <c r="D285" s="34" t="s">
        <v>795</v>
      </c>
      <c r="E285" s="34" t="s">
        <v>1169</v>
      </c>
      <c r="F285" s="35">
        <v>45751</v>
      </c>
      <c r="G285" s="35">
        <f t="shared" si="36"/>
        <v>45751</v>
      </c>
      <c r="H285" s="34"/>
      <c r="I285" s="48" t="s">
        <v>1171</v>
      </c>
      <c r="J285" s="48" t="s">
        <v>852</v>
      </c>
      <c r="K285" s="34"/>
      <c r="L285" s="34"/>
      <c r="M285" s="37">
        <v>34134</v>
      </c>
      <c r="N285" s="37">
        <f t="shared" si="35"/>
        <v>6144.12</v>
      </c>
      <c r="O285" s="37">
        <f t="shared" si="32"/>
        <v>40278.120000000003</v>
      </c>
      <c r="P285" s="34"/>
    </row>
    <row r="286" spans="1:16">
      <c r="A286" s="32">
        <v>285</v>
      </c>
      <c r="B286" s="52" t="s">
        <v>784</v>
      </c>
      <c r="C286" s="34" t="s">
        <v>630</v>
      </c>
      <c r="D286" s="34" t="s">
        <v>795</v>
      </c>
      <c r="E286" s="34" t="s">
        <v>1169</v>
      </c>
      <c r="F286" s="35">
        <v>45751</v>
      </c>
      <c r="G286" s="35">
        <f t="shared" si="36"/>
        <v>45751</v>
      </c>
      <c r="H286" s="34"/>
      <c r="I286" s="48" t="s">
        <v>1172</v>
      </c>
      <c r="J286" s="48" t="s">
        <v>852</v>
      </c>
      <c r="K286" s="34"/>
      <c r="L286" s="34"/>
      <c r="M286" s="37"/>
      <c r="N286" s="37"/>
      <c r="O286" s="37">
        <f t="shared" si="32"/>
        <v>0</v>
      </c>
      <c r="P286" s="34"/>
    </row>
    <row r="287" spans="1:16">
      <c r="A287" s="32">
        <v>286</v>
      </c>
      <c r="B287" s="52" t="s">
        <v>784</v>
      </c>
      <c r="C287" s="34" t="s">
        <v>317</v>
      </c>
      <c r="D287" s="34" t="s">
        <v>795</v>
      </c>
      <c r="E287" s="34" t="s">
        <v>1173</v>
      </c>
      <c r="F287" s="35">
        <v>45757</v>
      </c>
      <c r="G287" s="35">
        <f t="shared" si="36"/>
        <v>45757</v>
      </c>
      <c r="H287" s="34"/>
      <c r="I287" s="48" t="s">
        <v>385</v>
      </c>
      <c r="J287" s="48"/>
      <c r="K287" s="34"/>
      <c r="L287" s="34"/>
      <c r="M287" s="37">
        <v>268624</v>
      </c>
      <c r="N287" s="37">
        <f t="shared" si="35"/>
        <v>48352.32</v>
      </c>
      <c r="O287" s="37">
        <f t="shared" si="32"/>
        <v>316976.32</v>
      </c>
      <c r="P287" s="32"/>
    </row>
    <row r="288" spans="1:16">
      <c r="A288" s="32">
        <v>287</v>
      </c>
      <c r="B288" s="52" t="s">
        <v>784</v>
      </c>
      <c r="C288" s="34" t="s">
        <v>317</v>
      </c>
      <c r="D288" s="34" t="s">
        <v>795</v>
      </c>
      <c r="E288" s="34" t="s">
        <v>1173</v>
      </c>
      <c r="F288" s="35">
        <v>45757</v>
      </c>
      <c r="G288" s="35">
        <f t="shared" si="36"/>
        <v>45757</v>
      </c>
      <c r="H288" s="34"/>
      <c r="I288" s="48" t="s">
        <v>1174</v>
      </c>
      <c r="J288" s="48"/>
      <c r="K288" s="34"/>
      <c r="L288" s="34"/>
      <c r="M288" s="37"/>
      <c r="N288" s="37"/>
      <c r="O288" s="37">
        <v>181600</v>
      </c>
      <c r="P288" s="32"/>
    </row>
    <row r="289" spans="1:16">
      <c r="A289" s="32">
        <v>288</v>
      </c>
      <c r="B289" s="52" t="s">
        <v>784</v>
      </c>
      <c r="C289" s="34" t="s">
        <v>317</v>
      </c>
      <c r="D289" s="34" t="s">
        <v>795</v>
      </c>
      <c r="E289" s="34" t="s">
        <v>1175</v>
      </c>
      <c r="F289" s="35">
        <v>45764</v>
      </c>
      <c r="G289" s="35">
        <f t="shared" si="36"/>
        <v>45764</v>
      </c>
      <c r="H289" s="34"/>
      <c r="I289" s="48" t="s">
        <v>1176</v>
      </c>
      <c r="J289" s="36"/>
      <c r="K289" s="34"/>
      <c r="L289" s="34"/>
      <c r="M289" s="37">
        <v>190524</v>
      </c>
      <c r="N289" s="37">
        <f t="shared" si="35"/>
        <v>34294.32</v>
      </c>
      <c r="O289" s="37">
        <f t="shared" si="32"/>
        <v>224818.32</v>
      </c>
      <c r="P289" s="34"/>
    </row>
    <row r="290" spans="1:16">
      <c r="A290" s="32">
        <v>289</v>
      </c>
      <c r="B290" s="52" t="s">
        <v>784</v>
      </c>
      <c r="C290" s="34" t="s">
        <v>317</v>
      </c>
      <c r="D290" s="34" t="s">
        <v>795</v>
      </c>
      <c r="E290" s="34" t="s">
        <v>1177</v>
      </c>
      <c r="F290" s="35">
        <v>45765</v>
      </c>
      <c r="G290" s="35">
        <f t="shared" si="36"/>
        <v>45765</v>
      </c>
      <c r="H290" s="34"/>
      <c r="I290" s="36" t="s">
        <v>379</v>
      </c>
      <c r="J290" s="48" t="s">
        <v>852</v>
      </c>
      <c r="K290" s="34"/>
      <c r="L290" s="34"/>
      <c r="M290" s="37">
        <v>190524</v>
      </c>
      <c r="N290" s="37">
        <f t="shared" si="35"/>
        <v>34294.32</v>
      </c>
      <c r="O290" s="37">
        <f t="shared" si="32"/>
        <v>224818.32</v>
      </c>
      <c r="P290" s="34"/>
    </row>
    <row r="291" spans="1:16">
      <c r="A291" s="32">
        <v>290</v>
      </c>
      <c r="B291" s="52" t="s">
        <v>784</v>
      </c>
      <c r="C291" s="34" t="s">
        <v>630</v>
      </c>
      <c r="D291" s="34" t="s">
        <v>795</v>
      </c>
      <c r="E291" s="34" t="s">
        <v>1177</v>
      </c>
      <c r="F291" s="35">
        <v>45765</v>
      </c>
      <c r="G291" s="35">
        <f t="shared" si="36"/>
        <v>45765</v>
      </c>
      <c r="H291" s="34"/>
      <c r="I291" s="48" t="s">
        <v>1178</v>
      </c>
      <c r="J291" s="48" t="s">
        <v>852</v>
      </c>
      <c r="K291" s="34"/>
      <c r="L291" s="34"/>
      <c r="M291" s="37">
        <v>35200</v>
      </c>
      <c r="N291" s="37">
        <f t="shared" si="35"/>
        <v>6336</v>
      </c>
      <c r="O291" s="37">
        <f t="shared" si="32"/>
        <v>41536</v>
      </c>
      <c r="P291" s="34"/>
    </row>
    <row r="292" spans="1:16">
      <c r="A292" s="32">
        <v>291</v>
      </c>
      <c r="B292" s="52" t="s">
        <v>784</v>
      </c>
      <c r="C292" s="34" t="s">
        <v>630</v>
      </c>
      <c r="D292" s="34" t="s">
        <v>795</v>
      </c>
      <c r="E292" s="34" t="s">
        <v>1177</v>
      </c>
      <c r="F292" s="35">
        <v>45765</v>
      </c>
      <c r="G292" s="35">
        <f t="shared" si="36"/>
        <v>45765</v>
      </c>
      <c r="H292" s="34"/>
      <c r="I292" s="48" t="s">
        <v>1179</v>
      </c>
      <c r="J292" s="48" t="s">
        <v>852</v>
      </c>
      <c r="K292" s="34"/>
      <c r="L292" s="34"/>
      <c r="M292" s="37"/>
      <c r="N292" s="37"/>
      <c r="O292" s="37">
        <f t="shared" si="32"/>
        <v>0</v>
      </c>
      <c r="P292" s="34"/>
    </row>
    <row r="293" spans="1:16">
      <c r="A293" s="32">
        <v>292</v>
      </c>
      <c r="B293" s="52" t="s">
        <v>784</v>
      </c>
      <c r="C293" s="34" t="s">
        <v>630</v>
      </c>
      <c r="D293" s="34" t="s">
        <v>795</v>
      </c>
      <c r="E293" s="34" t="s">
        <v>1180</v>
      </c>
      <c r="F293" s="35">
        <v>45765</v>
      </c>
      <c r="G293" s="35">
        <f t="shared" si="36"/>
        <v>45765</v>
      </c>
      <c r="H293" s="34"/>
      <c r="I293" s="36" t="s">
        <v>1181</v>
      </c>
      <c r="J293" s="48" t="s">
        <v>852</v>
      </c>
      <c r="K293" s="34"/>
      <c r="L293" s="34"/>
      <c r="M293" s="37">
        <v>35200</v>
      </c>
      <c r="N293" s="37">
        <f t="shared" si="35"/>
        <v>6336</v>
      </c>
      <c r="O293" s="37">
        <f t="shared" si="32"/>
        <v>41536</v>
      </c>
      <c r="P293" s="34"/>
    </row>
    <row r="294" spans="1:16">
      <c r="A294" s="32">
        <v>293</v>
      </c>
      <c r="B294" s="52" t="s">
        <v>784</v>
      </c>
      <c r="C294" s="34" t="s">
        <v>630</v>
      </c>
      <c r="D294" s="34" t="s">
        <v>795</v>
      </c>
      <c r="E294" s="34" t="s">
        <v>1180</v>
      </c>
      <c r="F294" s="35">
        <v>45765</v>
      </c>
      <c r="G294" s="35">
        <f t="shared" si="36"/>
        <v>45765</v>
      </c>
      <c r="H294" s="34"/>
      <c r="I294" s="36" t="s">
        <v>1182</v>
      </c>
      <c r="J294" s="48" t="s">
        <v>852</v>
      </c>
      <c r="K294" s="34"/>
      <c r="L294" s="34"/>
      <c r="M294" s="37"/>
      <c r="N294" s="37"/>
      <c r="O294" s="37">
        <f t="shared" si="32"/>
        <v>0</v>
      </c>
      <c r="P294" s="34"/>
    </row>
    <row r="295" spans="1:16">
      <c r="A295" s="32">
        <v>294</v>
      </c>
      <c r="B295" s="52" t="s">
        <v>784</v>
      </c>
      <c r="C295" s="34" t="s">
        <v>317</v>
      </c>
      <c r="D295" s="34" t="s">
        <v>795</v>
      </c>
      <c r="E295" s="34" t="s">
        <v>1183</v>
      </c>
      <c r="F295" s="35">
        <v>45768</v>
      </c>
      <c r="G295" s="35">
        <f t="shared" si="36"/>
        <v>45768</v>
      </c>
      <c r="H295" s="34"/>
      <c r="I295" s="36" t="s">
        <v>1184</v>
      </c>
      <c r="J295" s="36" t="s">
        <v>852</v>
      </c>
      <c r="K295" s="34"/>
      <c r="L295" s="34"/>
      <c r="M295" s="37">
        <v>190524</v>
      </c>
      <c r="N295" s="37">
        <f t="shared" si="35"/>
        <v>34294.32</v>
      </c>
      <c r="O295" s="37">
        <f t="shared" si="32"/>
        <v>224818.32</v>
      </c>
      <c r="P295" s="34"/>
    </row>
    <row r="296" spans="1:16">
      <c r="A296" s="32">
        <v>295</v>
      </c>
      <c r="B296" s="52" t="s">
        <v>784</v>
      </c>
      <c r="C296" s="34" t="s">
        <v>630</v>
      </c>
      <c r="D296" s="34" t="s">
        <v>795</v>
      </c>
      <c r="E296" s="34" t="s">
        <v>1183</v>
      </c>
      <c r="F296" s="35">
        <v>45768</v>
      </c>
      <c r="G296" s="35">
        <f t="shared" si="36"/>
        <v>45768</v>
      </c>
      <c r="H296" s="34"/>
      <c r="I296" s="36" t="s">
        <v>1185</v>
      </c>
      <c r="J296" s="48" t="s">
        <v>852</v>
      </c>
      <c r="K296" s="34"/>
      <c r="L296" s="34"/>
      <c r="M296" s="37">
        <v>35200</v>
      </c>
      <c r="N296" s="37">
        <f t="shared" si="35"/>
        <v>6336</v>
      </c>
      <c r="O296" s="37">
        <f t="shared" si="32"/>
        <v>41536</v>
      </c>
      <c r="P296" s="34"/>
    </row>
    <row r="297" spans="1:16">
      <c r="A297" s="32">
        <v>296</v>
      </c>
      <c r="B297" s="52" t="s">
        <v>784</v>
      </c>
      <c r="C297" s="34" t="s">
        <v>630</v>
      </c>
      <c r="D297" s="34" t="s">
        <v>795</v>
      </c>
      <c r="E297" s="34" t="s">
        <v>1183</v>
      </c>
      <c r="F297" s="35">
        <v>45768</v>
      </c>
      <c r="G297" s="35">
        <f t="shared" si="36"/>
        <v>45768</v>
      </c>
      <c r="H297" s="34"/>
      <c r="I297" s="36" t="s">
        <v>1186</v>
      </c>
      <c r="J297" s="48" t="s">
        <v>852</v>
      </c>
      <c r="K297" s="34"/>
      <c r="L297" s="34"/>
      <c r="M297" s="37"/>
      <c r="N297" s="37"/>
      <c r="O297" s="37">
        <f t="shared" si="32"/>
        <v>0</v>
      </c>
      <c r="P297" s="34"/>
    </row>
    <row r="298" spans="1:16">
      <c r="A298" s="32">
        <v>297</v>
      </c>
      <c r="B298" s="52" t="s">
        <v>784</v>
      </c>
      <c r="C298" s="34" t="s">
        <v>317</v>
      </c>
      <c r="D298" s="34" t="s">
        <v>795</v>
      </c>
      <c r="E298" s="34" t="s">
        <v>1187</v>
      </c>
      <c r="F298" s="35">
        <v>45768</v>
      </c>
      <c r="G298" s="35">
        <f t="shared" si="36"/>
        <v>45768</v>
      </c>
      <c r="H298" s="34"/>
      <c r="I298" s="48" t="s">
        <v>1188</v>
      </c>
      <c r="J298" s="48"/>
      <c r="K298" s="34"/>
      <c r="L298" s="34"/>
      <c r="M298" s="37">
        <v>190524</v>
      </c>
      <c r="N298" s="37">
        <f t="shared" si="35"/>
        <v>34294.32</v>
      </c>
      <c r="O298" s="37">
        <f t="shared" si="32"/>
        <v>224818.32</v>
      </c>
      <c r="P298" s="34"/>
    </row>
    <row r="299" spans="1:16">
      <c r="A299" s="32">
        <v>298</v>
      </c>
      <c r="B299" s="52" t="s">
        <v>784</v>
      </c>
      <c r="C299" s="34" t="s">
        <v>630</v>
      </c>
      <c r="D299" s="34" t="s">
        <v>795</v>
      </c>
      <c r="E299" s="34" t="s">
        <v>1187</v>
      </c>
      <c r="F299" s="35">
        <v>45768</v>
      </c>
      <c r="G299" s="35">
        <f t="shared" si="36"/>
        <v>45768</v>
      </c>
      <c r="H299" s="34"/>
      <c r="I299" s="48" t="s">
        <v>1189</v>
      </c>
      <c r="J299" s="48"/>
      <c r="K299" s="34"/>
      <c r="L299" s="34"/>
      <c r="M299" s="37">
        <v>35200</v>
      </c>
      <c r="N299" s="37">
        <f t="shared" si="35"/>
        <v>6336</v>
      </c>
      <c r="O299" s="37">
        <f t="shared" si="32"/>
        <v>41536</v>
      </c>
      <c r="P299" s="34"/>
    </row>
    <row r="300" spans="1:16">
      <c r="A300" s="32">
        <v>299</v>
      </c>
      <c r="B300" s="52" t="s">
        <v>784</v>
      </c>
      <c r="C300" s="34" t="s">
        <v>630</v>
      </c>
      <c r="D300" s="34" t="s">
        <v>795</v>
      </c>
      <c r="E300" s="34" t="s">
        <v>1187</v>
      </c>
      <c r="F300" s="35">
        <v>45768</v>
      </c>
      <c r="G300" s="35">
        <f t="shared" si="36"/>
        <v>45768</v>
      </c>
      <c r="H300" s="34"/>
      <c r="I300" s="36" t="s">
        <v>518</v>
      </c>
      <c r="J300" s="48"/>
      <c r="K300" s="34"/>
      <c r="L300" s="34"/>
      <c r="M300" s="37"/>
      <c r="N300" s="37"/>
      <c r="O300" s="37">
        <f t="shared" si="32"/>
        <v>0</v>
      </c>
      <c r="P300" s="34"/>
    </row>
    <row r="301" spans="1:16">
      <c r="A301" s="32">
        <v>300</v>
      </c>
      <c r="B301" s="52" t="s">
        <v>784</v>
      </c>
      <c r="C301" s="34" t="s">
        <v>317</v>
      </c>
      <c r="D301" s="34" t="s">
        <v>795</v>
      </c>
      <c r="E301" s="34" t="s">
        <v>1190</v>
      </c>
      <c r="F301" s="35">
        <v>45770</v>
      </c>
      <c r="G301" s="35">
        <f t="shared" si="36"/>
        <v>45770</v>
      </c>
      <c r="H301" s="34"/>
      <c r="I301" s="36" t="s">
        <v>497</v>
      </c>
      <c r="J301" s="36"/>
      <c r="K301" s="34"/>
      <c r="L301" s="34"/>
      <c r="M301" s="37">
        <v>190524</v>
      </c>
      <c r="N301" s="37">
        <f t="shared" si="35"/>
        <v>34294.32</v>
      </c>
      <c r="O301" s="37">
        <f t="shared" si="32"/>
        <v>224818.32</v>
      </c>
      <c r="P301" s="34"/>
    </row>
    <row r="302" spans="1:16">
      <c r="A302" s="32">
        <v>301</v>
      </c>
      <c r="B302" s="52" t="s">
        <v>784</v>
      </c>
      <c r="C302" s="34" t="s">
        <v>630</v>
      </c>
      <c r="D302" s="34" t="s">
        <v>795</v>
      </c>
      <c r="E302" s="34" t="s">
        <v>1190</v>
      </c>
      <c r="F302" s="35">
        <v>45770</v>
      </c>
      <c r="G302" s="35">
        <f t="shared" si="36"/>
        <v>45770</v>
      </c>
      <c r="H302" s="34"/>
      <c r="I302" s="36" t="s">
        <v>375</v>
      </c>
      <c r="J302" s="48"/>
      <c r="K302" s="34"/>
      <c r="L302" s="34"/>
      <c r="M302" s="37">
        <v>35200</v>
      </c>
      <c r="N302" s="37">
        <f t="shared" si="35"/>
        <v>6336</v>
      </c>
      <c r="O302" s="37">
        <f t="shared" si="32"/>
        <v>41536</v>
      </c>
      <c r="P302" s="34"/>
    </row>
    <row r="303" spans="1:16">
      <c r="A303" s="32">
        <v>302</v>
      </c>
      <c r="B303" s="52" t="s">
        <v>784</v>
      </c>
      <c r="C303" s="34" t="s">
        <v>630</v>
      </c>
      <c r="D303" s="34" t="s">
        <v>795</v>
      </c>
      <c r="E303" s="34" t="s">
        <v>1190</v>
      </c>
      <c r="F303" s="35">
        <v>45770</v>
      </c>
      <c r="G303" s="35">
        <f t="shared" si="36"/>
        <v>45770</v>
      </c>
      <c r="H303" s="34"/>
      <c r="I303" s="36" t="s">
        <v>348</v>
      </c>
      <c r="J303" s="48" t="s">
        <v>792</v>
      </c>
      <c r="K303" s="34"/>
      <c r="L303" s="34"/>
      <c r="M303" s="37"/>
      <c r="N303" s="37"/>
      <c r="O303" s="37">
        <f t="shared" si="32"/>
        <v>0</v>
      </c>
      <c r="P303" s="34"/>
    </row>
    <row r="304" spans="1:16">
      <c r="A304" s="32">
        <v>303</v>
      </c>
      <c r="B304" s="52" t="s">
        <v>784</v>
      </c>
      <c r="C304" s="34" t="s">
        <v>317</v>
      </c>
      <c r="D304" s="34" t="s">
        <v>795</v>
      </c>
      <c r="E304" s="34" t="s">
        <v>1191</v>
      </c>
      <c r="F304" s="35">
        <v>45775</v>
      </c>
      <c r="G304" s="35">
        <f t="shared" si="36"/>
        <v>45775</v>
      </c>
      <c r="H304" s="34"/>
      <c r="I304" s="36" t="s">
        <v>605</v>
      </c>
      <c r="J304" s="36" t="s">
        <v>792</v>
      </c>
      <c r="K304" s="34"/>
      <c r="L304" s="34"/>
      <c r="M304" s="37">
        <v>190524</v>
      </c>
      <c r="N304" s="37">
        <f t="shared" si="35"/>
        <v>34294.32</v>
      </c>
      <c r="O304" s="37">
        <f t="shared" si="32"/>
        <v>224818.32</v>
      </c>
      <c r="P304" s="34"/>
    </row>
    <row r="305" spans="1:16">
      <c r="A305" s="32">
        <v>304</v>
      </c>
      <c r="B305" s="52" t="s">
        <v>784</v>
      </c>
      <c r="C305" s="34" t="s">
        <v>317</v>
      </c>
      <c r="D305" s="34" t="s">
        <v>795</v>
      </c>
      <c r="E305" s="34" t="s">
        <v>1192</v>
      </c>
      <c r="F305" s="35">
        <v>45775</v>
      </c>
      <c r="G305" s="35">
        <f t="shared" si="36"/>
        <v>45775</v>
      </c>
      <c r="H305" s="34"/>
      <c r="I305" s="36" t="s">
        <v>362</v>
      </c>
      <c r="J305" s="36" t="s">
        <v>792</v>
      </c>
      <c r="K305" s="34"/>
      <c r="L305" s="34"/>
      <c r="M305" s="37">
        <v>190524</v>
      </c>
      <c r="N305" s="37">
        <f t="shared" si="35"/>
        <v>34294.32</v>
      </c>
      <c r="O305" s="37">
        <f t="shared" si="32"/>
        <v>224818.32</v>
      </c>
      <c r="P305" s="34"/>
    </row>
    <row r="306" spans="1:16">
      <c r="A306" s="32">
        <v>305</v>
      </c>
      <c r="B306" s="52" t="s">
        <v>784</v>
      </c>
      <c r="C306" s="34" t="s">
        <v>317</v>
      </c>
      <c r="D306" s="34" t="s">
        <v>795</v>
      </c>
      <c r="E306" s="34" t="s">
        <v>1193</v>
      </c>
      <c r="F306" s="35">
        <v>45779</v>
      </c>
      <c r="G306" s="35">
        <f t="shared" si="36"/>
        <v>45779</v>
      </c>
      <c r="H306" s="34"/>
      <c r="I306" s="36" t="s">
        <v>453</v>
      </c>
      <c r="J306" s="36" t="s">
        <v>792</v>
      </c>
      <c r="K306" s="34"/>
      <c r="L306" s="34"/>
      <c r="M306" s="37">
        <v>79200</v>
      </c>
      <c r="N306" s="37">
        <f t="shared" si="35"/>
        <v>14256</v>
      </c>
      <c r="O306" s="37">
        <f t="shared" si="32"/>
        <v>93456</v>
      </c>
      <c r="P306" s="34"/>
    </row>
    <row r="307" spans="1:16">
      <c r="A307" s="32">
        <v>306</v>
      </c>
      <c r="B307" s="52" t="s">
        <v>784</v>
      </c>
      <c r="C307" s="34" t="s">
        <v>317</v>
      </c>
      <c r="D307" s="34" t="s">
        <v>795</v>
      </c>
      <c r="E307" s="34" t="s">
        <v>1194</v>
      </c>
      <c r="F307" s="35">
        <v>45779</v>
      </c>
      <c r="G307" s="35">
        <f t="shared" si="36"/>
        <v>45779</v>
      </c>
      <c r="H307" s="34"/>
      <c r="I307" s="36" t="s">
        <v>429</v>
      </c>
      <c r="J307" s="36" t="s">
        <v>792</v>
      </c>
      <c r="K307" s="34"/>
      <c r="L307" s="34"/>
      <c r="M307" s="37">
        <v>79200</v>
      </c>
      <c r="N307" s="37">
        <f t="shared" si="35"/>
        <v>14256</v>
      </c>
      <c r="O307" s="37">
        <f t="shared" si="32"/>
        <v>93456</v>
      </c>
      <c r="P307" s="34"/>
    </row>
    <row r="308" spans="1:16">
      <c r="A308" s="32">
        <v>307</v>
      </c>
      <c r="B308" s="52" t="s">
        <v>784</v>
      </c>
      <c r="C308" s="34" t="s">
        <v>317</v>
      </c>
      <c r="D308" s="34" t="s">
        <v>795</v>
      </c>
      <c r="E308" s="34" t="s">
        <v>1195</v>
      </c>
      <c r="F308" s="35">
        <v>45779</v>
      </c>
      <c r="G308" s="35">
        <f t="shared" si="36"/>
        <v>45779</v>
      </c>
      <c r="H308" s="34"/>
      <c r="I308" s="36" t="s">
        <v>1196</v>
      </c>
      <c r="J308" s="36" t="s">
        <v>792</v>
      </c>
      <c r="K308" s="34"/>
      <c r="L308" s="34"/>
      <c r="M308" s="37">
        <v>79200</v>
      </c>
      <c r="N308" s="37">
        <f t="shared" si="35"/>
        <v>14256</v>
      </c>
      <c r="O308" s="37">
        <f t="shared" si="32"/>
        <v>93456</v>
      </c>
      <c r="P308" s="34"/>
    </row>
    <row r="309" spans="1:16">
      <c r="A309" s="32">
        <v>308</v>
      </c>
      <c r="B309" s="52" t="s">
        <v>784</v>
      </c>
      <c r="C309" s="34" t="s">
        <v>317</v>
      </c>
      <c r="D309" s="34" t="s">
        <v>795</v>
      </c>
      <c r="E309" s="34" t="s">
        <v>1197</v>
      </c>
      <c r="F309" s="35">
        <v>45779</v>
      </c>
      <c r="G309" s="35">
        <f t="shared" si="36"/>
        <v>45779</v>
      </c>
      <c r="H309" s="34"/>
      <c r="I309" s="36" t="s">
        <v>344</v>
      </c>
      <c r="J309" s="48" t="s">
        <v>792</v>
      </c>
      <c r="K309" s="34"/>
      <c r="L309" s="34"/>
      <c r="M309" s="37">
        <v>79200</v>
      </c>
      <c r="N309" s="37">
        <f t="shared" si="35"/>
        <v>14256</v>
      </c>
      <c r="O309" s="37">
        <f t="shared" si="32"/>
        <v>93456</v>
      </c>
      <c r="P309" s="34"/>
    </row>
    <row r="310" spans="1:16">
      <c r="A310" s="32">
        <v>309</v>
      </c>
      <c r="B310" s="52" t="s">
        <v>784</v>
      </c>
      <c r="C310" s="34" t="s">
        <v>317</v>
      </c>
      <c r="D310" s="34" t="s">
        <v>795</v>
      </c>
      <c r="E310" s="34" t="s">
        <v>1198</v>
      </c>
      <c r="F310" s="35">
        <v>45779</v>
      </c>
      <c r="G310" s="35">
        <f t="shared" si="36"/>
        <v>45779</v>
      </c>
      <c r="H310" s="34"/>
      <c r="I310" s="36" t="s">
        <v>367</v>
      </c>
      <c r="J310" s="48" t="s">
        <v>792</v>
      </c>
      <c r="K310" s="34"/>
      <c r="L310" s="34"/>
      <c r="M310" s="37">
        <v>79200</v>
      </c>
      <c r="N310" s="37">
        <f t="shared" si="35"/>
        <v>14256</v>
      </c>
      <c r="O310" s="37">
        <f t="shared" si="32"/>
        <v>93456</v>
      </c>
      <c r="P310" s="34"/>
    </row>
    <row r="311" spans="1:16">
      <c r="A311" s="32">
        <v>310</v>
      </c>
      <c r="B311" s="52" t="s">
        <v>784</v>
      </c>
      <c r="C311" s="34" t="s">
        <v>317</v>
      </c>
      <c r="D311" s="34" t="s">
        <v>795</v>
      </c>
      <c r="E311" s="34" t="s">
        <v>1199</v>
      </c>
      <c r="F311" s="35">
        <v>45791</v>
      </c>
      <c r="G311" s="35">
        <f t="shared" si="36"/>
        <v>45791</v>
      </c>
      <c r="H311" s="34"/>
      <c r="I311" s="36" t="s">
        <v>549</v>
      </c>
      <c r="J311" s="36"/>
      <c r="K311" s="34"/>
      <c r="L311" s="34"/>
      <c r="M311" s="37">
        <v>190524</v>
      </c>
      <c r="N311" s="37">
        <f t="shared" si="35"/>
        <v>34294.32</v>
      </c>
      <c r="O311" s="37">
        <f t="shared" si="32"/>
        <v>224818.32</v>
      </c>
      <c r="P311" s="34"/>
    </row>
    <row r="312" spans="1:16">
      <c r="A312" s="32">
        <v>311</v>
      </c>
      <c r="B312" s="52" t="s">
        <v>784</v>
      </c>
      <c r="C312" s="34" t="s">
        <v>317</v>
      </c>
      <c r="D312" s="34" t="s">
        <v>795</v>
      </c>
      <c r="E312" s="34" t="s">
        <v>1200</v>
      </c>
      <c r="F312" s="35">
        <v>45791</v>
      </c>
      <c r="G312" s="35">
        <f t="shared" si="36"/>
        <v>45791</v>
      </c>
      <c r="H312" s="34"/>
      <c r="I312" s="36" t="s">
        <v>467</v>
      </c>
      <c r="J312" s="36"/>
      <c r="K312" s="34"/>
      <c r="L312" s="34"/>
      <c r="M312" s="37">
        <v>190524</v>
      </c>
      <c r="N312" s="37">
        <f t="shared" si="35"/>
        <v>34294.32</v>
      </c>
      <c r="O312" s="37">
        <f t="shared" si="32"/>
        <v>224818.32</v>
      </c>
      <c r="P312" s="34"/>
    </row>
    <row r="313" spans="1:16">
      <c r="A313" s="32">
        <v>312</v>
      </c>
      <c r="B313" s="52" t="s">
        <v>784</v>
      </c>
      <c r="C313" s="34" t="s">
        <v>317</v>
      </c>
      <c r="D313" s="34" t="s">
        <v>795</v>
      </c>
      <c r="E313" s="34" t="s">
        <v>1201</v>
      </c>
      <c r="F313" s="35">
        <v>45791</v>
      </c>
      <c r="G313" s="35">
        <f t="shared" si="36"/>
        <v>45791</v>
      </c>
      <c r="H313" s="34"/>
      <c r="I313" s="36" t="s">
        <v>1202</v>
      </c>
      <c r="J313" s="36"/>
      <c r="K313" s="34"/>
      <c r="L313" s="34"/>
      <c r="M313" s="37">
        <v>190524</v>
      </c>
      <c r="N313" s="37">
        <f t="shared" si="35"/>
        <v>34294.32</v>
      </c>
      <c r="O313" s="37">
        <f t="shared" si="32"/>
        <v>224818.32</v>
      </c>
      <c r="P313" s="34"/>
    </row>
    <row r="314" spans="1:16">
      <c r="A314" s="32">
        <v>313</v>
      </c>
      <c r="B314" s="52" t="s">
        <v>784</v>
      </c>
      <c r="C314" s="34" t="s">
        <v>317</v>
      </c>
      <c r="D314" s="34" t="s">
        <v>795</v>
      </c>
      <c r="E314" s="34" t="s">
        <v>1203</v>
      </c>
      <c r="F314" s="35">
        <v>45791</v>
      </c>
      <c r="G314" s="35">
        <f t="shared" si="36"/>
        <v>45791</v>
      </c>
      <c r="H314" s="34"/>
      <c r="I314" s="36" t="s">
        <v>1204</v>
      </c>
      <c r="J314" s="36"/>
      <c r="K314" s="34"/>
      <c r="L314" s="34"/>
      <c r="M314" s="37">
        <v>76911</v>
      </c>
      <c r="N314" s="37">
        <f t="shared" si="35"/>
        <v>13843.98</v>
      </c>
      <c r="O314" s="37">
        <f t="shared" si="32"/>
        <v>90754.98</v>
      </c>
      <c r="P314" s="34"/>
    </row>
    <row r="315" spans="1:16">
      <c r="A315" s="32">
        <v>314</v>
      </c>
      <c r="B315" s="52" t="s">
        <v>784</v>
      </c>
      <c r="C315" s="34" t="s">
        <v>317</v>
      </c>
      <c r="D315" s="34" t="s">
        <v>795</v>
      </c>
      <c r="E315" s="34" t="s">
        <v>1205</v>
      </c>
      <c r="F315" s="35">
        <v>45791</v>
      </c>
      <c r="G315" s="35">
        <f t="shared" si="36"/>
        <v>45791</v>
      </c>
      <c r="H315" s="34"/>
      <c r="I315" s="48" t="s">
        <v>1206</v>
      </c>
      <c r="J315" s="36"/>
      <c r="K315" s="34"/>
      <c r="L315" s="34"/>
      <c r="M315" s="37">
        <v>190524</v>
      </c>
      <c r="N315" s="37">
        <f t="shared" si="35"/>
        <v>34294.32</v>
      </c>
      <c r="O315" s="37">
        <f t="shared" si="32"/>
        <v>224818.32</v>
      </c>
      <c r="P315" s="34"/>
    </row>
    <row r="316" spans="1:16">
      <c r="A316" s="32">
        <v>315</v>
      </c>
      <c r="B316" s="52" t="s">
        <v>784</v>
      </c>
      <c r="C316" s="34" t="s">
        <v>317</v>
      </c>
      <c r="D316" s="34" t="s">
        <v>795</v>
      </c>
      <c r="E316" s="34" t="s">
        <v>1207</v>
      </c>
      <c r="F316" s="35">
        <v>45791</v>
      </c>
      <c r="G316" s="35">
        <f t="shared" si="36"/>
        <v>45791</v>
      </c>
      <c r="H316" s="34"/>
      <c r="I316" s="48" t="s">
        <v>357</v>
      </c>
      <c r="J316" s="36"/>
      <c r="K316" s="34"/>
      <c r="L316" s="34"/>
      <c r="M316" s="37">
        <v>190524</v>
      </c>
      <c r="N316" s="37">
        <f t="shared" si="35"/>
        <v>34294.32</v>
      </c>
      <c r="O316" s="37">
        <f t="shared" si="32"/>
        <v>224818.32</v>
      </c>
      <c r="P316" s="34"/>
    </row>
    <row r="317" spans="1:16">
      <c r="A317" s="32">
        <v>316</v>
      </c>
      <c r="B317" s="52" t="s">
        <v>784</v>
      </c>
      <c r="C317" s="34" t="s">
        <v>317</v>
      </c>
      <c r="D317" s="34" t="s">
        <v>795</v>
      </c>
      <c r="E317" s="34" t="s">
        <v>1208</v>
      </c>
      <c r="F317" s="35">
        <v>45798</v>
      </c>
      <c r="G317" s="35">
        <f t="shared" si="36"/>
        <v>45798</v>
      </c>
      <c r="H317" s="34"/>
      <c r="I317" s="36" t="s">
        <v>1209</v>
      </c>
      <c r="J317" s="36"/>
      <c r="K317" s="34"/>
      <c r="L317" s="34"/>
      <c r="M317" s="37">
        <v>190524</v>
      </c>
      <c r="N317" s="37">
        <f t="shared" si="35"/>
        <v>34294.32</v>
      </c>
      <c r="O317" s="37">
        <f t="shared" si="32"/>
        <v>224818.32</v>
      </c>
      <c r="P317" s="34"/>
    </row>
    <row r="318" spans="1:16">
      <c r="A318" s="32">
        <v>317</v>
      </c>
      <c r="B318" s="52" t="s">
        <v>784</v>
      </c>
      <c r="C318" s="34" t="s">
        <v>317</v>
      </c>
      <c r="D318" s="34" t="s">
        <v>795</v>
      </c>
      <c r="E318" s="34" t="s">
        <v>1210</v>
      </c>
      <c r="F318" s="35">
        <v>45806</v>
      </c>
      <c r="G318" s="35">
        <f t="shared" si="36"/>
        <v>45806</v>
      </c>
      <c r="H318" s="34"/>
      <c r="I318" s="36" t="s">
        <v>419</v>
      </c>
      <c r="J318" s="36"/>
      <c r="K318" s="34"/>
      <c r="L318" s="34"/>
      <c r="M318" s="37">
        <v>190524</v>
      </c>
      <c r="N318" s="37">
        <f t="shared" si="35"/>
        <v>34294.32</v>
      </c>
      <c r="O318" s="37">
        <f t="shared" si="32"/>
        <v>224818.32</v>
      </c>
      <c r="P318" s="34"/>
    </row>
    <row r="319" spans="1:16">
      <c r="A319" s="32">
        <v>318</v>
      </c>
      <c r="B319" s="52" t="s">
        <v>784</v>
      </c>
      <c r="C319" s="34" t="s">
        <v>317</v>
      </c>
      <c r="D319" s="34" t="s">
        <v>795</v>
      </c>
      <c r="E319" s="34" t="s">
        <v>1211</v>
      </c>
      <c r="F319" s="35">
        <v>45807</v>
      </c>
      <c r="G319" s="35">
        <f t="shared" si="36"/>
        <v>45807</v>
      </c>
      <c r="H319" s="34"/>
      <c r="I319" s="36" t="s">
        <v>1212</v>
      </c>
      <c r="J319" s="36" t="s">
        <v>792</v>
      </c>
      <c r="K319" s="34"/>
      <c r="L319" s="34"/>
      <c r="M319" s="37">
        <v>190524</v>
      </c>
      <c r="N319" s="37">
        <f t="shared" si="35"/>
        <v>34294.32</v>
      </c>
      <c r="O319" s="37">
        <f t="shared" si="32"/>
        <v>224818.32</v>
      </c>
      <c r="P319" s="34"/>
    </row>
    <row r="320" spans="1:16">
      <c r="A320" s="32">
        <v>319</v>
      </c>
      <c r="B320" s="52" t="s">
        <v>784</v>
      </c>
      <c r="C320" s="34" t="s">
        <v>317</v>
      </c>
      <c r="D320" s="34" t="s">
        <v>795</v>
      </c>
      <c r="E320" s="34" t="s">
        <v>1213</v>
      </c>
      <c r="F320" s="35">
        <v>45807</v>
      </c>
      <c r="G320" s="35">
        <f t="shared" si="36"/>
        <v>45807</v>
      </c>
      <c r="H320" s="34"/>
      <c r="I320" s="48" t="s">
        <v>1214</v>
      </c>
      <c r="J320" s="36"/>
      <c r="K320" s="34"/>
      <c r="L320" s="34"/>
      <c r="M320" s="37">
        <v>190524</v>
      </c>
      <c r="N320" s="37">
        <f t="shared" si="35"/>
        <v>34294.32</v>
      </c>
      <c r="O320" s="37">
        <f t="shared" si="32"/>
        <v>224818.32</v>
      </c>
      <c r="P320" s="34"/>
    </row>
    <row r="321" spans="1:16">
      <c r="A321" s="32">
        <v>320</v>
      </c>
      <c r="B321" s="52" t="s">
        <v>784</v>
      </c>
      <c r="C321" s="34" t="s">
        <v>317</v>
      </c>
      <c r="D321" s="34" t="s">
        <v>795</v>
      </c>
      <c r="E321" s="34" t="s">
        <v>1215</v>
      </c>
      <c r="F321" s="35">
        <v>45811</v>
      </c>
      <c r="G321" s="35">
        <f t="shared" si="36"/>
        <v>45811</v>
      </c>
      <c r="H321" s="34"/>
      <c r="I321" s="48" t="s">
        <v>578</v>
      </c>
      <c r="J321" s="36"/>
      <c r="K321" s="34"/>
      <c r="L321" s="34"/>
      <c r="M321" s="37">
        <v>190524</v>
      </c>
      <c r="N321" s="37">
        <f t="shared" si="35"/>
        <v>34294.32</v>
      </c>
      <c r="O321" s="37">
        <f t="shared" si="32"/>
        <v>224818.32</v>
      </c>
      <c r="P321" s="34"/>
    </row>
    <row r="322" spans="1:16">
      <c r="A322" s="32">
        <v>321</v>
      </c>
      <c r="B322" s="52" t="s">
        <v>784</v>
      </c>
      <c r="C322" s="34" t="s">
        <v>317</v>
      </c>
      <c r="D322" s="34" t="s">
        <v>795</v>
      </c>
      <c r="E322" s="34" t="s">
        <v>1216</v>
      </c>
      <c r="F322" s="35">
        <v>45821</v>
      </c>
      <c r="G322" s="35">
        <f t="shared" si="36"/>
        <v>45821</v>
      </c>
      <c r="H322" s="34"/>
      <c r="I322" s="48" t="s">
        <v>1217</v>
      </c>
      <c r="J322" s="36"/>
      <c r="K322" s="34"/>
      <c r="L322" s="34"/>
      <c r="M322" s="37">
        <v>381048</v>
      </c>
      <c r="N322" s="37">
        <f t="shared" si="35"/>
        <v>68588.639999999999</v>
      </c>
      <c r="O322" s="37">
        <f t="shared" si="32"/>
        <v>449636.64</v>
      </c>
      <c r="P322" s="34"/>
    </row>
    <row r="323" spans="1:16">
      <c r="A323" s="32">
        <v>322</v>
      </c>
      <c r="B323" s="52" t="s">
        <v>784</v>
      </c>
      <c r="C323" s="34" t="s">
        <v>317</v>
      </c>
      <c r="D323" s="34" t="s">
        <v>795</v>
      </c>
      <c r="E323" s="34" t="s">
        <v>1216</v>
      </c>
      <c r="F323" s="35">
        <v>45821</v>
      </c>
      <c r="G323" s="35">
        <f t="shared" si="36"/>
        <v>45821</v>
      </c>
      <c r="H323" s="34"/>
      <c r="I323" s="36" t="s">
        <v>473</v>
      </c>
      <c r="J323" s="36"/>
      <c r="K323" s="34"/>
      <c r="L323" s="34"/>
      <c r="M323" s="37"/>
      <c r="N323" s="37"/>
      <c r="O323" s="37">
        <v>181600</v>
      </c>
      <c r="P323" s="34"/>
    </row>
    <row r="324" spans="1:16">
      <c r="A324" s="32">
        <v>323</v>
      </c>
      <c r="B324" s="52" t="s">
        <v>784</v>
      </c>
      <c r="C324" s="34" t="s">
        <v>317</v>
      </c>
      <c r="D324" s="34" t="s">
        <v>795</v>
      </c>
      <c r="E324" s="34" t="s">
        <v>1218</v>
      </c>
      <c r="F324" s="35">
        <v>45826</v>
      </c>
      <c r="G324" s="35">
        <f t="shared" si="36"/>
        <v>45826</v>
      </c>
      <c r="H324" s="34"/>
      <c r="I324" s="36" t="s">
        <v>1219</v>
      </c>
      <c r="J324" s="36" t="s">
        <v>792</v>
      </c>
      <c r="K324" s="34"/>
      <c r="L324" s="34"/>
      <c r="M324" s="37">
        <v>190524</v>
      </c>
      <c r="N324" s="37">
        <f t="shared" si="35"/>
        <v>34294.32</v>
      </c>
      <c r="O324" s="37">
        <f t="shared" ref="O323:O386" si="37">SUM(M324:N324)</f>
        <v>224818.32</v>
      </c>
      <c r="P324" s="34"/>
    </row>
    <row r="325" spans="1:16">
      <c r="A325" s="32">
        <v>324</v>
      </c>
      <c r="B325" s="52" t="s">
        <v>784</v>
      </c>
      <c r="C325" s="34" t="s">
        <v>630</v>
      </c>
      <c r="D325" s="34" t="s">
        <v>795</v>
      </c>
      <c r="E325" s="34" t="s">
        <v>1218</v>
      </c>
      <c r="F325" s="35">
        <v>45826</v>
      </c>
      <c r="G325" s="35">
        <f t="shared" si="36"/>
        <v>45826</v>
      </c>
      <c r="H325" s="34"/>
      <c r="I325" s="36" t="s">
        <v>701</v>
      </c>
      <c r="J325" s="36"/>
      <c r="K325" s="34"/>
      <c r="L325" s="34"/>
      <c r="M325" s="37">
        <v>27800</v>
      </c>
      <c r="N325" s="37">
        <f t="shared" si="35"/>
        <v>5004</v>
      </c>
      <c r="O325" s="37">
        <f t="shared" si="37"/>
        <v>32804</v>
      </c>
      <c r="P325" s="34"/>
    </row>
    <row r="326" spans="1:16">
      <c r="A326" s="32">
        <v>325</v>
      </c>
      <c r="B326" s="52" t="s">
        <v>784</v>
      </c>
      <c r="C326" s="34" t="s">
        <v>317</v>
      </c>
      <c r="D326" s="34" t="s">
        <v>1220</v>
      </c>
      <c r="E326" s="34" t="s">
        <v>1221</v>
      </c>
      <c r="F326" s="35">
        <v>45831</v>
      </c>
      <c r="G326" s="35">
        <f t="shared" si="36"/>
        <v>45831</v>
      </c>
      <c r="H326" s="34"/>
      <c r="I326" s="36" t="s">
        <v>1222</v>
      </c>
      <c r="J326" s="48" t="s">
        <v>792</v>
      </c>
      <c r="K326" s="34"/>
      <c r="L326" s="34"/>
      <c r="M326" s="37">
        <v>213941</v>
      </c>
      <c r="N326" s="37">
        <f t="shared" si="35"/>
        <v>38509.379999999997</v>
      </c>
      <c r="O326" s="37">
        <f t="shared" si="37"/>
        <v>252450.38</v>
      </c>
      <c r="P326" s="34"/>
    </row>
    <row r="327" spans="1:16">
      <c r="A327" s="32">
        <v>326</v>
      </c>
      <c r="B327" s="52" t="s">
        <v>784</v>
      </c>
      <c r="C327" s="34" t="s">
        <v>317</v>
      </c>
      <c r="D327" s="34" t="s">
        <v>795</v>
      </c>
      <c r="E327" s="34" t="s">
        <v>1223</v>
      </c>
      <c r="F327" s="35">
        <v>45838</v>
      </c>
      <c r="G327" s="35">
        <f t="shared" si="36"/>
        <v>45838</v>
      </c>
      <c r="H327" s="34"/>
      <c r="I327" s="36" t="s">
        <v>382</v>
      </c>
      <c r="J327" s="48"/>
      <c r="K327" s="34"/>
      <c r="L327" s="34"/>
      <c r="M327" s="37">
        <v>190524</v>
      </c>
      <c r="N327" s="37">
        <f t="shared" si="35"/>
        <v>34294.32</v>
      </c>
      <c r="O327" s="37">
        <f t="shared" si="37"/>
        <v>224818.32</v>
      </c>
      <c r="P327" s="34"/>
    </row>
    <row r="328" spans="1:16">
      <c r="A328" s="32">
        <v>327</v>
      </c>
      <c r="B328" s="52" t="s">
        <v>784</v>
      </c>
      <c r="C328" s="34" t="s">
        <v>630</v>
      </c>
      <c r="D328" s="34" t="s">
        <v>795</v>
      </c>
      <c r="E328" s="34" t="s">
        <v>1224</v>
      </c>
      <c r="F328" s="35">
        <v>45838</v>
      </c>
      <c r="G328" s="35">
        <f t="shared" si="36"/>
        <v>45838</v>
      </c>
      <c r="H328" s="34"/>
      <c r="I328" s="36" t="s">
        <v>423</v>
      </c>
      <c r="J328" s="36" t="s">
        <v>792</v>
      </c>
      <c r="K328" s="34"/>
      <c r="L328" s="34"/>
      <c r="M328" s="37">
        <v>17600</v>
      </c>
      <c r="N328" s="37">
        <f t="shared" si="35"/>
        <v>3168</v>
      </c>
      <c r="O328" s="37">
        <f t="shared" si="37"/>
        <v>20768</v>
      </c>
      <c r="P328" s="34"/>
    </row>
    <row r="329" spans="1:16">
      <c r="A329" s="32">
        <v>328</v>
      </c>
      <c r="B329" s="52" t="s">
        <v>784</v>
      </c>
      <c r="C329" s="34" t="s">
        <v>317</v>
      </c>
      <c r="D329" s="34" t="s">
        <v>795</v>
      </c>
      <c r="E329" s="34" t="s">
        <v>1225</v>
      </c>
      <c r="F329" s="35">
        <v>45842</v>
      </c>
      <c r="G329" s="35">
        <f t="shared" si="36"/>
        <v>45842</v>
      </c>
      <c r="H329" s="34"/>
      <c r="I329" s="36" t="s">
        <v>1226</v>
      </c>
      <c r="J329" s="36"/>
      <c r="K329" s="34"/>
      <c r="L329" s="34"/>
      <c r="M329" s="37">
        <v>190524</v>
      </c>
      <c r="N329" s="37">
        <f t="shared" si="35"/>
        <v>34294.32</v>
      </c>
      <c r="O329" s="37">
        <f t="shared" si="37"/>
        <v>224818.32</v>
      </c>
      <c r="P329" s="34"/>
    </row>
    <row r="330" spans="1:16">
      <c r="A330" s="32">
        <v>329</v>
      </c>
      <c r="B330" s="52" t="s">
        <v>784</v>
      </c>
      <c r="C330" s="34" t="s">
        <v>317</v>
      </c>
      <c r="D330" s="34" t="s">
        <v>795</v>
      </c>
      <c r="E330" s="34" t="s">
        <v>1227</v>
      </c>
      <c r="F330" s="35">
        <v>45854</v>
      </c>
      <c r="G330" s="35">
        <f t="shared" si="36"/>
        <v>45854</v>
      </c>
      <c r="H330" s="34"/>
      <c r="I330" s="36" t="s">
        <v>558</v>
      </c>
      <c r="J330" s="36" t="s">
        <v>792</v>
      </c>
      <c r="K330" s="34"/>
      <c r="L330" s="34"/>
      <c r="M330" s="37">
        <v>190524</v>
      </c>
      <c r="N330" s="37">
        <f t="shared" si="35"/>
        <v>34294.32</v>
      </c>
      <c r="O330" s="37">
        <f t="shared" si="37"/>
        <v>224818.32</v>
      </c>
      <c r="P330" s="34"/>
    </row>
    <row r="331" spans="1:16">
      <c r="A331" s="32">
        <v>330</v>
      </c>
      <c r="B331" s="52" t="s">
        <v>784</v>
      </c>
      <c r="C331" s="34" t="s">
        <v>317</v>
      </c>
      <c r="D331" s="34" t="s">
        <v>795</v>
      </c>
      <c r="E331" s="34" t="s">
        <v>1228</v>
      </c>
      <c r="F331" s="35">
        <v>45854</v>
      </c>
      <c r="G331" s="35">
        <f t="shared" si="36"/>
        <v>45854</v>
      </c>
      <c r="H331" s="34"/>
      <c r="I331" s="48" t="s">
        <v>437</v>
      </c>
      <c r="J331" s="48" t="s">
        <v>792</v>
      </c>
      <c r="K331" s="34"/>
      <c r="L331" s="34"/>
      <c r="M331" s="37">
        <v>76911</v>
      </c>
      <c r="N331" s="37">
        <f t="shared" si="35"/>
        <v>13843.98</v>
      </c>
      <c r="O331" s="37">
        <f t="shared" si="37"/>
        <v>90754.98</v>
      </c>
      <c r="P331" s="34"/>
    </row>
    <row r="332" spans="1:16">
      <c r="A332" s="32">
        <v>331</v>
      </c>
      <c r="B332" s="52" t="s">
        <v>784</v>
      </c>
      <c r="C332" s="34" t="s">
        <v>317</v>
      </c>
      <c r="D332" s="34" t="s">
        <v>795</v>
      </c>
      <c r="E332" s="34" t="s">
        <v>1229</v>
      </c>
      <c r="F332" s="35">
        <v>45855</v>
      </c>
      <c r="G332" s="35">
        <f t="shared" si="36"/>
        <v>45855</v>
      </c>
      <c r="H332" s="34"/>
      <c r="I332" s="48" t="s">
        <v>585</v>
      </c>
      <c r="J332" s="48"/>
      <c r="K332" s="34"/>
      <c r="L332" s="34"/>
      <c r="M332" s="37">
        <v>190524</v>
      </c>
      <c r="N332" s="37">
        <f t="shared" si="35"/>
        <v>34294.32</v>
      </c>
      <c r="O332" s="37">
        <f t="shared" si="37"/>
        <v>224818.32</v>
      </c>
      <c r="P332" s="34"/>
    </row>
    <row r="333" spans="1:16">
      <c r="A333" s="32">
        <v>332</v>
      </c>
      <c r="B333" s="52" t="s">
        <v>784</v>
      </c>
      <c r="C333" s="34" t="s">
        <v>630</v>
      </c>
      <c r="D333" s="34" t="s">
        <v>795</v>
      </c>
      <c r="E333" s="34" t="s">
        <v>1230</v>
      </c>
      <c r="F333" s="35">
        <v>45855</v>
      </c>
      <c r="G333" s="35">
        <f t="shared" si="36"/>
        <v>45855</v>
      </c>
      <c r="H333" s="34"/>
      <c r="I333" s="36" t="s">
        <v>582</v>
      </c>
      <c r="J333" s="48" t="s">
        <v>792</v>
      </c>
      <c r="K333" s="34"/>
      <c r="L333" s="34"/>
      <c r="M333" s="37">
        <v>30700</v>
      </c>
      <c r="N333" s="37">
        <f t="shared" si="35"/>
        <v>5526</v>
      </c>
      <c r="O333" s="37">
        <f t="shared" si="37"/>
        <v>36226</v>
      </c>
      <c r="P333" s="34"/>
    </row>
    <row r="334" spans="1:16">
      <c r="A334" s="32">
        <v>333</v>
      </c>
      <c r="B334" s="52" t="s">
        <v>784</v>
      </c>
      <c r="C334" s="34" t="s">
        <v>317</v>
      </c>
      <c r="D334" s="34" t="s">
        <v>795</v>
      </c>
      <c r="E334" s="34" t="s">
        <v>1231</v>
      </c>
      <c r="F334" s="35">
        <v>45857</v>
      </c>
      <c r="G334" s="35">
        <f t="shared" si="36"/>
        <v>45857</v>
      </c>
      <c r="H334" s="34"/>
      <c r="I334" s="48" t="s">
        <v>1232</v>
      </c>
      <c r="J334" s="36"/>
      <c r="K334" s="34"/>
      <c r="L334" s="34"/>
      <c r="M334" s="37">
        <v>190524</v>
      </c>
      <c r="N334" s="37">
        <f t="shared" ref="N334:N402" si="38">M334*18%</f>
        <v>34294.32</v>
      </c>
      <c r="O334" s="37">
        <f t="shared" si="37"/>
        <v>224818.32</v>
      </c>
      <c r="P334" s="34"/>
    </row>
    <row r="335" spans="1:16">
      <c r="A335" s="32">
        <v>334</v>
      </c>
      <c r="B335" s="52" t="s">
        <v>784</v>
      </c>
      <c r="C335" s="34" t="s">
        <v>630</v>
      </c>
      <c r="D335" s="34" t="s">
        <v>795</v>
      </c>
      <c r="E335" s="34" t="s">
        <v>1233</v>
      </c>
      <c r="F335" s="35">
        <v>45859</v>
      </c>
      <c r="G335" s="35">
        <f t="shared" si="36"/>
        <v>45859</v>
      </c>
      <c r="H335" s="34"/>
      <c r="I335" s="36" t="s">
        <v>472</v>
      </c>
      <c r="J335" s="36" t="s">
        <v>792</v>
      </c>
      <c r="K335" s="34"/>
      <c r="L335" s="34"/>
      <c r="M335" s="37">
        <v>17600</v>
      </c>
      <c r="N335" s="37">
        <f t="shared" si="38"/>
        <v>3168</v>
      </c>
      <c r="O335" s="37">
        <f t="shared" si="37"/>
        <v>20768</v>
      </c>
      <c r="P335" s="34"/>
    </row>
    <row r="336" spans="1:16">
      <c r="A336" s="32">
        <v>335</v>
      </c>
      <c r="B336" s="52" t="s">
        <v>784</v>
      </c>
      <c r="C336" s="34" t="s">
        <v>630</v>
      </c>
      <c r="D336" s="34" t="s">
        <v>795</v>
      </c>
      <c r="E336" s="34" t="s">
        <v>1234</v>
      </c>
      <c r="F336" s="35">
        <v>45866</v>
      </c>
      <c r="G336" s="35">
        <f t="shared" si="36"/>
        <v>45866</v>
      </c>
      <c r="H336" s="34"/>
      <c r="I336" s="36" t="s">
        <v>1235</v>
      </c>
      <c r="J336" s="36"/>
      <c r="K336" s="34"/>
      <c r="L336" s="34"/>
      <c r="M336" s="37">
        <v>20100</v>
      </c>
      <c r="N336" s="37">
        <f t="shared" si="38"/>
        <v>3618</v>
      </c>
      <c r="O336" s="37">
        <f t="shared" si="37"/>
        <v>23718</v>
      </c>
      <c r="P336" s="34"/>
    </row>
    <row r="337" spans="1:16">
      <c r="A337" s="32">
        <v>336</v>
      </c>
      <c r="B337" s="52" t="s">
        <v>784</v>
      </c>
      <c r="C337" s="34" t="s">
        <v>630</v>
      </c>
      <c r="D337" s="34" t="s">
        <v>795</v>
      </c>
      <c r="E337" s="34" t="s">
        <v>1236</v>
      </c>
      <c r="F337" s="35">
        <v>45866</v>
      </c>
      <c r="G337" s="35">
        <f t="shared" si="36"/>
        <v>45866</v>
      </c>
      <c r="H337" s="34"/>
      <c r="I337" s="36" t="s">
        <v>1237</v>
      </c>
      <c r="J337" s="36" t="s">
        <v>792</v>
      </c>
      <c r="K337" s="34"/>
      <c r="L337" s="34"/>
      <c r="M337" s="37">
        <v>20100</v>
      </c>
      <c r="N337" s="37">
        <f t="shared" si="38"/>
        <v>3618</v>
      </c>
      <c r="O337" s="37">
        <f t="shared" si="37"/>
        <v>23718</v>
      </c>
      <c r="P337" s="34"/>
    </row>
    <row r="338" spans="1:16">
      <c r="A338" s="32">
        <v>337</v>
      </c>
      <c r="B338" s="52" t="s">
        <v>784</v>
      </c>
      <c r="C338" s="34" t="s">
        <v>317</v>
      </c>
      <c r="D338" s="34" t="s">
        <v>795</v>
      </c>
      <c r="E338" s="34" t="s">
        <v>1238</v>
      </c>
      <c r="F338" s="35">
        <v>45867</v>
      </c>
      <c r="G338" s="35">
        <f t="shared" si="36"/>
        <v>45867</v>
      </c>
      <c r="H338" s="34"/>
      <c r="I338" s="36" t="s">
        <v>1239</v>
      </c>
      <c r="J338" s="44" t="s">
        <v>792</v>
      </c>
      <c r="K338" s="34"/>
      <c r="L338" s="34"/>
      <c r="M338" s="37">
        <v>68509</v>
      </c>
      <c r="N338" s="37">
        <f t="shared" si="38"/>
        <v>12331.619999999999</v>
      </c>
      <c r="O338" s="37">
        <f t="shared" si="37"/>
        <v>80840.62</v>
      </c>
      <c r="P338" s="34"/>
    </row>
    <row r="339" spans="1:16">
      <c r="A339" s="32">
        <v>338</v>
      </c>
      <c r="B339" s="52" t="s">
        <v>784</v>
      </c>
      <c r="C339" s="34" t="s">
        <v>317</v>
      </c>
      <c r="D339" s="34" t="s">
        <v>795</v>
      </c>
      <c r="E339" s="34" t="s">
        <v>1240</v>
      </c>
      <c r="F339" s="35">
        <v>45869</v>
      </c>
      <c r="G339" s="35">
        <f t="shared" si="36"/>
        <v>45869</v>
      </c>
      <c r="H339" s="34"/>
      <c r="I339" s="48" t="s">
        <v>1241</v>
      </c>
      <c r="J339" s="36"/>
      <c r="K339" s="34"/>
      <c r="L339" s="34"/>
      <c r="M339" s="37">
        <v>190524</v>
      </c>
      <c r="N339" s="37">
        <f t="shared" si="38"/>
        <v>34294.32</v>
      </c>
      <c r="O339" s="37">
        <f t="shared" si="37"/>
        <v>224818.32</v>
      </c>
      <c r="P339" s="34"/>
    </row>
    <row r="340" spans="1:16">
      <c r="A340" s="32">
        <v>339</v>
      </c>
      <c r="B340" s="52" t="s">
        <v>784</v>
      </c>
      <c r="C340" s="34" t="s">
        <v>317</v>
      </c>
      <c r="D340" s="34" t="s">
        <v>795</v>
      </c>
      <c r="E340" s="34" t="s">
        <v>1242</v>
      </c>
      <c r="F340" s="35">
        <v>45870</v>
      </c>
      <c r="G340" s="35">
        <f t="shared" si="36"/>
        <v>45870</v>
      </c>
      <c r="H340" s="34"/>
      <c r="I340" s="36" t="s">
        <v>606</v>
      </c>
      <c r="J340" s="36"/>
      <c r="K340" s="34"/>
      <c r="L340" s="34"/>
      <c r="M340" s="37">
        <v>190524</v>
      </c>
      <c r="N340" s="37">
        <f t="shared" si="38"/>
        <v>34294.32</v>
      </c>
      <c r="O340" s="37">
        <f t="shared" si="37"/>
        <v>224818.32</v>
      </c>
      <c r="P340" s="34"/>
    </row>
    <row r="341" spans="1:16">
      <c r="A341" s="32">
        <v>340</v>
      </c>
      <c r="B341" s="52" t="s">
        <v>784</v>
      </c>
      <c r="C341" s="34" t="s">
        <v>630</v>
      </c>
      <c r="D341" s="34" t="s">
        <v>795</v>
      </c>
      <c r="E341" s="34" t="s">
        <v>1242</v>
      </c>
      <c r="F341" s="35">
        <v>45870</v>
      </c>
      <c r="G341" s="35">
        <f t="shared" si="36"/>
        <v>45870</v>
      </c>
      <c r="H341" s="34"/>
      <c r="I341" s="48" t="s">
        <v>1243</v>
      </c>
      <c r="J341" s="36"/>
      <c r="K341" s="34"/>
      <c r="L341" s="34"/>
      <c r="M341" s="37">
        <v>17600</v>
      </c>
      <c r="N341" s="37">
        <f t="shared" si="38"/>
        <v>3168</v>
      </c>
      <c r="O341" s="37">
        <f t="shared" si="37"/>
        <v>20768</v>
      </c>
      <c r="P341" s="34"/>
    </row>
    <row r="342" spans="1:16">
      <c r="A342" s="32">
        <v>341</v>
      </c>
      <c r="B342" s="52" t="s">
        <v>784</v>
      </c>
      <c r="C342" s="34" t="s">
        <v>317</v>
      </c>
      <c r="D342" s="34" t="s">
        <v>795</v>
      </c>
      <c r="E342" s="34" t="s">
        <v>1244</v>
      </c>
      <c r="F342" s="35">
        <v>45880</v>
      </c>
      <c r="G342" s="35">
        <f t="shared" si="36"/>
        <v>45880</v>
      </c>
      <c r="H342" s="34"/>
      <c r="I342" s="36" t="s">
        <v>533</v>
      </c>
      <c r="J342" s="36"/>
      <c r="K342" s="34"/>
      <c r="L342" s="34"/>
      <c r="M342" s="37">
        <v>190524</v>
      </c>
      <c r="N342" s="37">
        <f t="shared" si="38"/>
        <v>34294.32</v>
      </c>
      <c r="O342" s="37">
        <f t="shared" si="37"/>
        <v>224818.32</v>
      </c>
      <c r="P342" s="34"/>
    </row>
    <row r="343" spans="1:16">
      <c r="A343" s="32">
        <v>342</v>
      </c>
      <c r="B343" s="52" t="s">
        <v>784</v>
      </c>
      <c r="C343" s="34" t="s">
        <v>317</v>
      </c>
      <c r="D343" s="34" t="s">
        <v>795</v>
      </c>
      <c r="E343" s="34" t="s">
        <v>1245</v>
      </c>
      <c r="F343" s="35">
        <v>45880</v>
      </c>
      <c r="G343" s="35">
        <f t="shared" si="36"/>
        <v>45880</v>
      </c>
      <c r="H343" s="34"/>
      <c r="I343" s="36" t="s">
        <v>1246</v>
      </c>
      <c r="J343" s="48"/>
      <c r="K343" s="34"/>
      <c r="L343" s="34"/>
      <c r="M343" s="37">
        <v>190524</v>
      </c>
      <c r="N343" s="37">
        <f t="shared" si="38"/>
        <v>34294.32</v>
      </c>
      <c r="O343" s="37">
        <f t="shared" si="37"/>
        <v>224818.32</v>
      </c>
      <c r="P343" s="34"/>
    </row>
    <row r="344" spans="1:16">
      <c r="A344" s="32">
        <v>343</v>
      </c>
      <c r="B344" s="52" t="s">
        <v>784</v>
      </c>
      <c r="C344" s="34" t="s">
        <v>317</v>
      </c>
      <c r="D344" s="34" t="s">
        <v>795</v>
      </c>
      <c r="E344" s="34" t="s">
        <v>1247</v>
      </c>
      <c r="F344" s="35">
        <v>45883</v>
      </c>
      <c r="G344" s="35">
        <f t="shared" si="36"/>
        <v>45883</v>
      </c>
      <c r="H344" s="34"/>
      <c r="I344" s="48" t="s">
        <v>1248</v>
      </c>
      <c r="J344" s="48"/>
      <c r="K344" s="34"/>
      <c r="L344" s="34"/>
      <c r="M344" s="37">
        <v>190524</v>
      </c>
      <c r="N344" s="37">
        <f t="shared" si="38"/>
        <v>34294.32</v>
      </c>
      <c r="O344" s="37">
        <f t="shared" si="37"/>
        <v>224818.32</v>
      </c>
      <c r="P344" s="34"/>
    </row>
    <row r="345" spans="1:16">
      <c r="A345" s="32">
        <v>344</v>
      </c>
      <c r="B345" s="52" t="s">
        <v>784</v>
      </c>
      <c r="C345" s="34" t="s">
        <v>317</v>
      </c>
      <c r="D345" s="34" t="s">
        <v>795</v>
      </c>
      <c r="E345" s="34" t="s">
        <v>1249</v>
      </c>
      <c r="F345" s="35">
        <v>45887</v>
      </c>
      <c r="G345" s="35">
        <f t="shared" ref="G345:G348" si="39">F345</f>
        <v>45887</v>
      </c>
      <c r="H345" s="34"/>
      <c r="I345" s="48" t="s">
        <v>1250</v>
      </c>
      <c r="J345" s="36"/>
      <c r="K345" s="34"/>
      <c r="L345" s="34"/>
      <c r="M345" s="37">
        <v>190524</v>
      </c>
      <c r="N345" s="37">
        <f t="shared" si="38"/>
        <v>34294.32</v>
      </c>
      <c r="O345" s="37">
        <f t="shared" si="37"/>
        <v>224818.32</v>
      </c>
      <c r="P345" s="34"/>
    </row>
    <row r="346" spans="1:16">
      <c r="A346" s="32">
        <v>345</v>
      </c>
      <c r="B346" s="52" t="s">
        <v>784</v>
      </c>
      <c r="C346" s="34" t="s">
        <v>317</v>
      </c>
      <c r="D346" s="34" t="s">
        <v>795</v>
      </c>
      <c r="E346" s="34" t="s">
        <v>1251</v>
      </c>
      <c r="F346" s="35">
        <v>45890</v>
      </c>
      <c r="G346" s="35">
        <f t="shared" si="39"/>
        <v>45890</v>
      </c>
      <c r="H346" s="34"/>
      <c r="I346" s="36" t="s">
        <v>1252</v>
      </c>
      <c r="J346" s="48" t="s">
        <v>792</v>
      </c>
      <c r="K346" s="34"/>
      <c r="L346" s="34"/>
      <c r="M346" s="37">
        <v>190524</v>
      </c>
      <c r="N346" s="37">
        <f t="shared" si="38"/>
        <v>34294.32</v>
      </c>
      <c r="O346" s="37">
        <f t="shared" si="37"/>
        <v>224818.32</v>
      </c>
      <c r="P346" s="34"/>
    </row>
    <row r="347" spans="1:16">
      <c r="A347" s="32">
        <v>346</v>
      </c>
      <c r="B347" s="52" t="s">
        <v>784</v>
      </c>
      <c r="C347" s="34" t="s">
        <v>317</v>
      </c>
      <c r="D347" s="34" t="s">
        <v>795</v>
      </c>
      <c r="E347" s="34" t="s">
        <v>1253</v>
      </c>
      <c r="F347" s="35">
        <v>45891</v>
      </c>
      <c r="G347" s="35">
        <f t="shared" si="39"/>
        <v>45891</v>
      </c>
      <c r="H347" s="34"/>
      <c r="I347" s="36" t="s">
        <v>459</v>
      </c>
      <c r="J347" s="36"/>
      <c r="K347" s="34"/>
      <c r="L347" s="34"/>
      <c r="M347" s="37">
        <v>190524</v>
      </c>
      <c r="N347" s="37">
        <f t="shared" si="38"/>
        <v>34294.32</v>
      </c>
      <c r="O347" s="37">
        <f t="shared" si="37"/>
        <v>224818.32</v>
      </c>
      <c r="P347" s="34"/>
    </row>
    <row r="348" spans="1:16">
      <c r="A348" s="32">
        <v>347</v>
      </c>
      <c r="B348" s="52" t="s">
        <v>784</v>
      </c>
      <c r="C348" s="34" t="s">
        <v>630</v>
      </c>
      <c r="D348" s="34" t="s">
        <v>795</v>
      </c>
      <c r="E348" s="34" t="s">
        <v>1254</v>
      </c>
      <c r="F348" s="35">
        <v>45891</v>
      </c>
      <c r="G348" s="35">
        <f t="shared" si="39"/>
        <v>45891</v>
      </c>
      <c r="H348" s="34"/>
      <c r="I348" s="36" t="s">
        <v>1255</v>
      </c>
      <c r="J348" s="36"/>
      <c r="K348" s="34"/>
      <c r="L348" s="34"/>
      <c r="M348" s="37">
        <v>17600</v>
      </c>
      <c r="N348" s="37">
        <f t="shared" si="38"/>
        <v>3168</v>
      </c>
      <c r="O348" s="37">
        <f t="shared" si="37"/>
        <v>20768</v>
      </c>
      <c r="P348" s="34"/>
    </row>
    <row r="349" spans="1:16">
      <c r="A349" s="32">
        <v>348</v>
      </c>
      <c r="B349" s="52" t="s">
        <v>784</v>
      </c>
      <c r="C349" s="34" t="s">
        <v>317</v>
      </c>
      <c r="D349" s="34" t="s">
        <v>795</v>
      </c>
      <c r="E349" s="34" t="s">
        <v>1256</v>
      </c>
      <c r="F349" s="35">
        <v>45894</v>
      </c>
      <c r="G349" s="35">
        <v>45783</v>
      </c>
      <c r="H349" s="34"/>
      <c r="I349" s="36" t="s">
        <v>477</v>
      </c>
      <c r="J349" s="36" t="s">
        <v>792</v>
      </c>
      <c r="K349" s="34"/>
      <c r="L349" s="34"/>
      <c r="M349" s="37">
        <v>79200</v>
      </c>
      <c r="N349" s="37">
        <f t="shared" si="38"/>
        <v>14256</v>
      </c>
      <c r="O349" s="37">
        <f t="shared" si="37"/>
        <v>93456</v>
      </c>
      <c r="P349" s="34"/>
    </row>
    <row r="350" spans="1:16">
      <c r="A350" s="32">
        <v>349</v>
      </c>
      <c r="B350" s="52" t="s">
        <v>784</v>
      </c>
      <c r="C350" s="34" t="s">
        <v>317</v>
      </c>
      <c r="D350" s="34" t="s">
        <v>795</v>
      </c>
      <c r="E350" s="34" t="s">
        <v>1257</v>
      </c>
      <c r="F350" s="35">
        <v>45894</v>
      </c>
      <c r="G350" s="35">
        <v>45826</v>
      </c>
      <c r="H350" s="34"/>
      <c r="I350" s="36" t="s">
        <v>603</v>
      </c>
      <c r="J350" s="36" t="s">
        <v>792</v>
      </c>
      <c r="K350" s="34"/>
      <c r="L350" s="34"/>
      <c r="M350" s="37">
        <v>79200</v>
      </c>
      <c r="N350" s="37">
        <f t="shared" si="38"/>
        <v>14256</v>
      </c>
      <c r="O350" s="37">
        <f t="shared" si="37"/>
        <v>93456</v>
      </c>
      <c r="P350" s="34"/>
    </row>
    <row r="351" spans="1:16">
      <c r="A351" s="32">
        <v>350</v>
      </c>
      <c r="B351" s="52" t="s">
        <v>784</v>
      </c>
      <c r="C351" s="34" t="s">
        <v>317</v>
      </c>
      <c r="D351" s="34" t="s">
        <v>795</v>
      </c>
      <c r="E351" s="34" t="s">
        <v>1258</v>
      </c>
      <c r="F351" s="35">
        <v>45894</v>
      </c>
      <c r="G351" s="35">
        <v>45834</v>
      </c>
      <c r="H351" s="34"/>
      <c r="I351" s="48" t="s">
        <v>1259</v>
      </c>
      <c r="J351" s="36"/>
      <c r="K351" s="34"/>
      <c r="L351" s="34"/>
      <c r="M351" s="37">
        <v>190524</v>
      </c>
      <c r="N351" s="37">
        <f t="shared" si="38"/>
        <v>34294.32</v>
      </c>
      <c r="O351" s="37">
        <f t="shared" si="37"/>
        <v>224818.32</v>
      </c>
      <c r="P351" s="34"/>
    </row>
    <row r="352" spans="1:16">
      <c r="A352" s="32">
        <v>351</v>
      </c>
      <c r="B352" s="52" t="s">
        <v>784</v>
      </c>
      <c r="C352" s="34" t="s">
        <v>630</v>
      </c>
      <c r="D352" s="34" t="s">
        <v>795</v>
      </c>
      <c r="E352" s="34" t="s">
        <v>1258</v>
      </c>
      <c r="F352" s="35">
        <v>45894</v>
      </c>
      <c r="G352" s="35">
        <v>45834</v>
      </c>
      <c r="H352" s="34"/>
      <c r="I352" s="48" t="s">
        <v>1260</v>
      </c>
      <c r="J352" s="48"/>
      <c r="K352" s="34"/>
      <c r="L352" s="34"/>
      <c r="M352" s="37">
        <v>27800</v>
      </c>
      <c r="N352" s="37">
        <f t="shared" si="38"/>
        <v>5004</v>
      </c>
      <c r="O352" s="37">
        <f t="shared" si="37"/>
        <v>32804</v>
      </c>
      <c r="P352" s="34"/>
    </row>
    <row r="353" spans="1:16">
      <c r="A353" s="32">
        <v>352</v>
      </c>
      <c r="B353" s="52" t="s">
        <v>784</v>
      </c>
      <c r="C353" s="34" t="s">
        <v>317</v>
      </c>
      <c r="D353" s="34" t="s">
        <v>795</v>
      </c>
      <c r="E353" s="34" t="s">
        <v>1261</v>
      </c>
      <c r="F353" s="35">
        <v>45894</v>
      </c>
      <c r="G353" s="35">
        <v>45870</v>
      </c>
      <c r="H353" s="34"/>
      <c r="I353" s="36" t="s">
        <v>1262</v>
      </c>
      <c r="J353" s="36"/>
      <c r="K353" s="34"/>
      <c r="L353" s="34"/>
      <c r="M353" s="37">
        <v>76911</v>
      </c>
      <c r="N353" s="37">
        <f t="shared" si="38"/>
        <v>13843.98</v>
      </c>
      <c r="O353" s="37">
        <f t="shared" si="37"/>
        <v>90754.98</v>
      </c>
      <c r="P353" s="34"/>
    </row>
    <row r="354" spans="1:16">
      <c r="A354" s="32">
        <v>353</v>
      </c>
      <c r="B354" s="52" t="s">
        <v>784</v>
      </c>
      <c r="C354" s="34" t="s">
        <v>630</v>
      </c>
      <c r="D354" s="34" t="s">
        <v>795</v>
      </c>
      <c r="E354" s="34" t="s">
        <v>1261</v>
      </c>
      <c r="F354" s="35">
        <v>45894</v>
      </c>
      <c r="G354" s="35">
        <v>45870</v>
      </c>
      <c r="H354" s="34"/>
      <c r="I354" s="36" t="s">
        <v>583</v>
      </c>
      <c r="J354" s="48"/>
      <c r="K354" s="34"/>
      <c r="L354" s="34"/>
      <c r="M354" s="37">
        <v>17600</v>
      </c>
      <c r="N354" s="37">
        <f t="shared" si="38"/>
        <v>3168</v>
      </c>
      <c r="O354" s="37">
        <f t="shared" si="37"/>
        <v>20768</v>
      </c>
      <c r="P354" s="34"/>
    </row>
    <row r="355" spans="1:16">
      <c r="A355" s="32">
        <v>354</v>
      </c>
      <c r="B355" s="52" t="s">
        <v>784</v>
      </c>
      <c r="C355" s="34" t="s">
        <v>317</v>
      </c>
      <c r="D355" s="34" t="s">
        <v>795</v>
      </c>
      <c r="E355" s="34" t="s">
        <v>1263</v>
      </c>
      <c r="F355" s="35">
        <v>45894</v>
      </c>
      <c r="G355" s="35">
        <v>45870</v>
      </c>
      <c r="H355" s="34"/>
      <c r="I355" s="36" t="s">
        <v>401</v>
      </c>
      <c r="J355" s="36"/>
      <c r="K355" s="34"/>
      <c r="L355" s="34"/>
      <c r="M355" s="37">
        <v>190524</v>
      </c>
      <c r="N355" s="37">
        <f t="shared" si="38"/>
        <v>34294.32</v>
      </c>
      <c r="O355" s="37">
        <f t="shared" si="37"/>
        <v>224818.32</v>
      </c>
      <c r="P355" s="34"/>
    </row>
    <row r="356" spans="1:16">
      <c r="A356" s="32">
        <v>355</v>
      </c>
      <c r="B356" s="52" t="s">
        <v>784</v>
      </c>
      <c r="C356" s="34" t="s">
        <v>317</v>
      </c>
      <c r="D356" s="34" t="s">
        <v>795</v>
      </c>
      <c r="E356" s="34" t="s">
        <v>1264</v>
      </c>
      <c r="F356" s="35">
        <v>45894</v>
      </c>
      <c r="G356" s="35">
        <v>45871</v>
      </c>
      <c r="H356" s="34"/>
      <c r="I356" s="36" t="s">
        <v>1265</v>
      </c>
      <c r="J356" s="36" t="s">
        <v>792</v>
      </c>
      <c r="K356" s="34"/>
      <c r="L356" s="34"/>
      <c r="M356" s="37">
        <v>190524</v>
      </c>
      <c r="N356" s="37">
        <f t="shared" si="38"/>
        <v>34294.32</v>
      </c>
      <c r="O356" s="37">
        <f t="shared" si="37"/>
        <v>224818.32</v>
      </c>
      <c r="P356" s="34"/>
    </row>
    <row r="357" spans="1:16">
      <c r="A357" s="32">
        <v>356</v>
      </c>
      <c r="B357" s="52" t="s">
        <v>784</v>
      </c>
      <c r="C357" s="34" t="s">
        <v>630</v>
      </c>
      <c r="D357" s="34" t="s">
        <v>795</v>
      </c>
      <c r="E357" s="34" t="s">
        <v>1264</v>
      </c>
      <c r="F357" s="35">
        <v>45894</v>
      </c>
      <c r="G357" s="35">
        <v>45871</v>
      </c>
      <c r="H357" s="34"/>
      <c r="I357" s="48" t="s">
        <v>449</v>
      </c>
      <c r="J357" s="48" t="s">
        <v>792</v>
      </c>
      <c r="K357" s="34"/>
      <c r="L357" s="34"/>
      <c r="M357" s="37">
        <v>35200</v>
      </c>
      <c r="N357" s="37">
        <f t="shared" si="38"/>
        <v>6336</v>
      </c>
      <c r="O357" s="37">
        <f t="shared" si="37"/>
        <v>41536</v>
      </c>
      <c r="P357" s="34"/>
    </row>
    <row r="358" spans="1:16">
      <c r="A358" s="32">
        <v>357</v>
      </c>
      <c r="B358" s="52" t="s">
        <v>784</v>
      </c>
      <c r="C358" s="34" t="s">
        <v>630</v>
      </c>
      <c r="D358" s="34" t="s">
        <v>795</v>
      </c>
      <c r="E358" s="34" t="s">
        <v>1264</v>
      </c>
      <c r="F358" s="35">
        <v>45894</v>
      </c>
      <c r="G358" s="35">
        <v>45871</v>
      </c>
      <c r="H358" s="34"/>
      <c r="I358" s="36" t="s">
        <v>1266</v>
      </c>
      <c r="J358" s="48" t="s">
        <v>792</v>
      </c>
      <c r="K358" s="34"/>
      <c r="L358" s="34"/>
      <c r="M358" s="37"/>
      <c r="N358" s="37"/>
      <c r="O358" s="37">
        <f t="shared" si="37"/>
        <v>0</v>
      </c>
      <c r="P358" s="34"/>
    </row>
    <row r="359" spans="1:16">
      <c r="A359" s="32">
        <v>358</v>
      </c>
      <c r="B359" s="52" t="s">
        <v>784</v>
      </c>
      <c r="C359" s="34" t="s">
        <v>630</v>
      </c>
      <c r="D359" s="34" t="s">
        <v>795</v>
      </c>
      <c r="E359" s="34" t="s">
        <v>1267</v>
      </c>
      <c r="F359" s="35">
        <v>45894</v>
      </c>
      <c r="G359" s="35">
        <v>45826</v>
      </c>
      <c r="H359" s="34"/>
      <c r="I359" s="36" t="s">
        <v>1268</v>
      </c>
      <c r="J359" s="36"/>
      <c r="K359" s="34"/>
      <c r="L359" s="34"/>
      <c r="M359" s="37">
        <v>24500</v>
      </c>
      <c r="N359" s="37">
        <f t="shared" si="38"/>
        <v>4410</v>
      </c>
      <c r="O359" s="37">
        <f t="shared" si="37"/>
        <v>28910</v>
      </c>
      <c r="P359" s="34"/>
    </row>
    <row r="360" spans="1:16">
      <c r="A360" s="32">
        <v>359</v>
      </c>
      <c r="B360" s="52" t="s">
        <v>784</v>
      </c>
      <c r="C360" s="32" t="s">
        <v>317</v>
      </c>
      <c r="D360" s="32" t="s">
        <v>795</v>
      </c>
      <c r="E360" s="32" t="s">
        <v>1269</v>
      </c>
      <c r="F360" s="53">
        <v>45897</v>
      </c>
      <c r="G360" s="53">
        <v>45783</v>
      </c>
      <c r="H360" s="32"/>
      <c r="I360" s="36" t="s">
        <v>1270</v>
      </c>
      <c r="J360" s="44" t="s">
        <v>792</v>
      </c>
      <c r="K360" s="32"/>
      <c r="L360" s="32"/>
      <c r="M360" s="54">
        <v>79200</v>
      </c>
      <c r="N360" s="54">
        <f t="shared" si="38"/>
        <v>14256</v>
      </c>
      <c r="O360" s="37">
        <f t="shared" si="37"/>
        <v>93456</v>
      </c>
      <c r="P360" s="32"/>
    </row>
    <row r="361" spans="1:16">
      <c r="A361" s="32">
        <v>360</v>
      </c>
      <c r="B361" s="52" t="s">
        <v>784</v>
      </c>
      <c r="C361" s="34" t="s">
        <v>317</v>
      </c>
      <c r="D361" s="34" t="s">
        <v>795</v>
      </c>
      <c r="E361" s="34" t="s">
        <v>1271</v>
      </c>
      <c r="F361" s="35">
        <v>45898</v>
      </c>
      <c r="G361" s="35">
        <v>45897</v>
      </c>
      <c r="H361" s="34"/>
      <c r="I361" s="36" t="s">
        <v>607</v>
      </c>
      <c r="J361" s="36"/>
      <c r="K361" s="34"/>
      <c r="L361" s="34"/>
      <c r="M361" s="37">
        <v>190524</v>
      </c>
      <c r="N361" s="37">
        <f t="shared" si="38"/>
        <v>34294.32</v>
      </c>
      <c r="O361" s="37">
        <f t="shared" si="37"/>
        <v>224818.32</v>
      </c>
      <c r="P361" s="34"/>
    </row>
    <row r="362" spans="1:16">
      <c r="A362" s="32">
        <v>361</v>
      </c>
      <c r="B362" s="52" t="s">
        <v>784</v>
      </c>
      <c r="C362" s="34" t="s">
        <v>630</v>
      </c>
      <c r="D362" s="34" t="s">
        <v>795</v>
      </c>
      <c r="E362" s="34" t="s">
        <v>1271</v>
      </c>
      <c r="F362" s="35">
        <v>45898</v>
      </c>
      <c r="G362" s="35">
        <f>F362</f>
        <v>45898</v>
      </c>
      <c r="H362" s="34"/>
      <c r="I362" s="36" t="s">
        <v>1272</v>
      </c>
      <c r="J362" s="36"/>
      <c r="K362" s="34"/>
      <c r="L362" s="34"/>
      <c r="M362" s="37">
        <v>17600</v>
      </c>
      <c r="N362" s="37">
        <f t="shared" si="38"/>
        <v>3168</v>
      </c>
      <c r="O362" s="37">
        <f t="shared" si="37"/>
        <v>20768</v>
      </c>
      <c r="P362" s="34"/>
    </row>
    <row r="363" spans="1:16">
      <c r="A363" s="32">
        <v>362</v>
      </c>
      <c r="B363" s="52" t="s">
        <v>784</v>
      </c>
      <c r="C363" s="34" t="s">
        <v>317</v>
      </c>
      <c r="D363" s="34" t="s">
        <v>795</v>
      </c>
      <c r="E363" s="34" t="s">
        <v>1273</v>
      </c>
      <c r="F363" s="35">
        <v>45898</v>
      </c>
      <c r="G363" s="35">
        <f>F363</f>
        <v>45898</v>
      </c>
      <c r="H363" s="34"/>
      <c r="I363" s="36" t="s">
        <v>347</v>
      </c>
      <c r="J363" s="36"/>
      <c r="K363" s="34"/>
      <c r="L363" s="34"/>
      <c r="M363" s="37">
        <v>190524</v>
      </c>
      <c r="N363" s="37">
        <f t="shared" si="38"/>
        <v>34294.32</v>
      </c>
      <c r="O363" s="37">
        <f t="shared" si="37"/>
        <v>224818.32</v>
      </c>
      <c r="P363" s="34"/>
    </row>
    <row r="364" spans="1:16">
      <c r="A364" s="32">
        <v>363</v>
      </c>
      <c r="B364" s="52" t="s">
        <v>784</v>
      </c>
      <c r="C364" s="34" t="s">
        <v>317</v>
      </c>
      <c r="D364" s="34" t="s">
        <v>795</v>
      </c>
      <c r="E364" s="34" t="s">
        <v>1274</v>
      </c>
      <c r="F364" s="35">
        <v>45900</v>
      </c>
      <c r="G364" s="35">
        <v>45873</v>
      </c>
      <c r="H364" s="34"/>
      <c r="I364" s="36" t="s">
        <v>1275</v>
      </c>
      <c r="J364" s="36"/>
      <c r="K364" s="34"/>
      <c r="L364" s="34"/>
      <c r="M364" s="37">
        <v>190524</v>
      </c>
      <c r="N364" s="37">
        <f t="shared" si="38"/>
        <v>34294.32</v>
      </c>
      <c r="O364" s="37">
        <f t="shared" si="37"/>
        <v>224818.32</v>
      </c>
      <c r="P364" s="34"/>
    </row>
    <row r="365" spans="1:16">
      <c r="A365" s="32">
        <v>364</v>
      </c>
      <c r="B365" s="52" t="s">
        <v>784</v>
      </c>
      <c r="C365" s="34" t="s">
        <v>630</v>
      </c>
      <c r="D365" s="34" t="s">
        <v>795</v>
      </c>
      <c r="E365" s="34" t="s">
        <v>1274</v>
      </c>
      <c r="F365" s="35">
        <v>45900</v>
      </c>
      <c r="G365" s="35">
        <v>45873</v>
      </c>
      <c r="H365" s="34"/>
      <c r="I365" s="36" t="s">
        <v>1276</v>
      </c>
      <c r="J365" s="48"/>
      <c r="K365" s="34"/>
      <c r="L365" s="34"/>
      <c r="M365" s="37">
        <v>17600</v>
      </c>
      <c r="N365" s="37">
        <f t="shared" si="38"/>
        <v>3168</v>
      </c>
      <c r="O365" s="37">
        <f t="shared" si="37"/>
        <v>20768</v>
      </c>
      <c r="P365" s="34"/>
    </row>
    <row r="366" spans="1:16">
      <c r="A366" s="32">
        <v>365</v>
      </c>
      <c r="B366" s="52" t="s">
        <v>784</v>
      </c>
      <c r="C366" s="34" t="s">
        <v>317</v>
      </c>
      <c r="D366" s="34" t="s">
        <v>1220</v>
      </c>
      <c r="E366" s="34" t="s">
        <v>1277</v>
      </c>
      <c r="F366" s="35">
        <v>45902</v>
      </c>
      <c r="G366" s="35">
        <f>F366</f>
        <v>45902</v>
      </c>
      <c r="H366" s="34"/>
      <c r="I366" s="36" t="s">
        <v>353</v>
      </c>
      <c r="J366" s="48" t="s">
        <v>792</v>
      </c>
      <c r="K366" s="34"/>
      <c r="L366" s="34"/>
      <c r="M366" s="37">
        <v>188516.95</v>
      </c>
      <c r="N366" s="37">
        <f t="shared" si="38"/>
        <v>33933.050999999999</v>
      </c>
      <c r="O366" s="37">
        <f t="shared" si="37"/>
        <v>222450.00100000002</v>
      </c>
      <c r="P366" s="34"/>
    </row>
    <row r="367" spans="1:16">
      <c r="A367" s="32">
        <v>366</v>
      </c>
      <c r="B367" s="52" t="s">
        <v>784</v>
      </c>
      <c r="C367" s="34" t="s">
        <v>317</v>
      </c>
      <c r="D367" s="34" t="s">
        <v>795</v>
      </c>
      <c r="E367" s="34" t="s">
        <v>1278</v>
      </c>
      <c r="F367" s="35">
        <v>45903</v>
      </c>
      <c r="G367" s="35">
        <f t="shared" ref="G367:G373" si="40">F367</f>
        <v>45903</v>
      </c>
      <c r="H367" s="34"/>
      <c r="I367" s="36" t="s">
        <v>581</v>
      </c>
      <c r="J367" s="36" t="s">
        <v>792</v>
      </c>
      <c r="K367" s="34"/>
      <c r="L367" s="34"/>
      <c r="M367" s="37">
        <v>190524</v>
      </c>
      <c r="N367" s="37">
        <f t="shared" si="38"/>
        <v>34294.32</v>
      </c>
      <c r="O367" s="37">
        <f t="shared" si="37"/>
        <v>224818.32</v>
      </c>
      <c r="P367" s="34"/>
    </row>
    <row r="368" spans="1:16">
      <c r="A368" s="32">
        <v>367</v>
      </c>
      <c r="B368" s="52" t="s">
        <v>784</v>
      </c>
      <c r="C368" s="34" t="s">
        <v>317</v>
      </c>
      <c r="D368" s="34" t="s">
        <v>795</v>
      </c>
      <c r="E368" s="34" t="s">
        <v>1279</v>
      </c>
      <c r="F368" s="35">
        <v>45903</v>
      </c>
      <c r="G368" s="35">
        <f t="shared" si="40"/>
        <v>45903</v>
      </c>
      <c r="H368" s="34"/>
      <c r="I368" s="36" t="s">
        <v>443</v>
      </c>
      <c r="J368" s="36"/>
      <c r="K368" s="34"/>
      <c r="L368" s="34"/>
      <c r="M368" s="37">
        <v>190524</v>
      </c>
      <c r="N368" s="37">
        <f t="shared" si="38"/>
        <v>34294.32</v>
      </c>
      <c r="O368" s="37">
        <f t="shared" si="37"/>
        <v>224818.32</v>
      </c>
      <c r="P368" s="34"/>
    </row>
    <row r="369" spans="1:16">
      <c r="A369" s="32">
        <v>368</v>
      </c>
      <c r="B369" s="52" t="s">
        <v>784</v>
      </c>
      <c r="C369" s="34" t="s">
        <v>317</v>
      </c>
      <c r="D369" s="34" t="s">
        <v>795</v>
      </c>
      <c r="E369" s="34" t="s">
        <v>1280</v>
      </c>
      <c r="F369" s="35">
        <v>45903</v>
      </c>
      <c r="G369" s="35">
        <f t="shared" si="40"/>
        <v>45903</v>
      </c>
      <c r="H369" s="34"/>
      <c r="I369" s="36" t="s">
        <v>1281</v>
      </c>
      <c r="J369" s="36"/>
      <c r="K369" s="34"/>
      <c r="L369" s="34"/>
      <c r="M369" s="37">
        <v>190524</v>
      </c>
      <c r="N369" s="37">
        <f t="shared" si="38"/>
        <v>34294.32</v>
      </c>
      <c r="O369" s="37">
        <f t="shared" si="37"/>
        <v>224818.32</v>
      </c>
      <c r="P369" s="34"/>
    </row>
    <row r="370" spans="1:16">
      <c r="A370" s="32">
        <v>369</v>
      </c>
      <c r="B370" s="52" t="s">
        <v>784</v>
      </c>
      <c r="C370" s="34" t="s">
        <v>317</v>
      </c>
      <c r="D370" s="34" t="s">
        <v>795</v>
      </c>
      <c r="E370" s="34" t="s">
        <v>1282</v>
      </c>
      <c r="F370" s="35">
        <v>45904</v>
      </c>
      <c r="G370" s="35">
        <f t="shared" si="40"/>
        <v>45904</v>
      </c>
      <c r="H370" s="34"/>
      <c r="I370" s="36" t="s">
        <v>1283</v>
      </c>
      <c r="J370" s="36" t="s">
        <v>792</v>
      </c>
      <c r="K370" s="34"/>
      <c r="L370" s="34"/>
      <c r="M370" s="37">
        <v>79200</v>
      </c>
      <c r="N370" s="37">
        <f t="shared" si="38"/>
        <v>14256</v>
      </c>
      <c r="O370" s="37">
        <f t="shared" si="37"/>
        <v>93456</v>
      </c>
      <c r="P370" s="34"/>
    </row>
    <row r="371" spans="1:16">
      <c r="A371" s="32">
        <v>370</v>
      </c>
      <c r="B371" s="52" t="s">
        <v>784</v>
      </c>
      <c r="C371" s="34" t="s">
        <v>317</v>
      </c>
      <c r="D371" s="34" t="s">
        <v>795</v>
      </c>
      <c r="E371" s="34" t="s">
        <v>1284</v>
      </c>
      <c r="F371" s="35">
        <v>45911</v>
      </c>
      <c r="G371" s="35">
        <f t="shared" si="40"/>
        <v>45911</v>
      </c>
      <c r="H371" s="34"/>
      <c r="I371" s="36" t="s">
        <v>1285</v>
      </c>
      <c r="J371" s="48"/>
      <c r="K371" s="34"/>
      <c r="L371" s="34"/>
      <c r="M371" s="37">
        <v>190524</v>
      </c>
      <c r="N371" s="37">
        <f t="shared" si="38"/>
        <v>34294.32</v>
      </c>
      <c r="O371" s="37">
        <f t="shared" si="37"/>
        <v>224818.32</v>
      </c>
      <c r="P371" s="34"/>
    </row>
    <row r="372" spans="1:16">
      <c r="A372" s="32">
        <v>371</v>
      </c>
      <c r="B372" s="52" t="s">
        <v>784</v>
      </c>
      <c r="C372" s="34" t="s">
        <v>317</v>
      </c>
      <c r="D372" s="34" t="s">
        <v>1220</v>
      </c>
      <c r="E372" s="34" t="s">
        <v>1286</v>
      </c>
      <c r="F372" s="35">
        <v>45915</v>
      </c>
      <c r="G372" s="35">
        <f t="shared" si="40"/>
        <v>45915</v>
      </c>
      <c r="H372" s="34"/>
      <c r="I372" s="36" t="s">
        <v>1287</v>
      </c>
      <c r="J372" s="36" t="s">
        <v>792</v>
      </c>
      <c r="K372" s="34"/>
      <c r="L372" s="34"/>
      <c r="M372" s="37">
        <v>188516.95</v>
      </c>
      <c r="N372" s="37">
        <f t="shared" si="38"/>
        <v>33933.050999999999</v>
      </c>
      <c r="O372" s="37">
        <f t="shared" si="37"/>
        <v>222450.00100000002</v>
      </c>
      <c r="P372" s="34"/>
    </row>
    <row r="373" spans="1:16">
      <c r="A373" s="32">
        <v>372</v>
      </c>
      <c r="B373" s="52" t="s">
        <v>784</v>
      </c>
      <c r="C373" s="34" t="s">
        <v>317</v>
      </c>
      <c r="D373" s="34" t="s">
        <v>1220</v>
      </c>
      <c r="E373" s="34" t="s">
        <v>1288</v>
      </c>
      <c r="F373" s="35">
        <v>45920</v>
      </c>
      <c r="G373" s="35">
        <f t="shared" si="40"/>
        <v>45920</v>
      </c>
      <c r="H373" s="34"/>
      <c r="I373" s="36" t="s">
        <v>1289</v>
      </c>
      <c r="J373" s="36" t="s">
        <v>792</v>
      </c>
      <c r="K373" s="34"/>
      <c r="L373" s="34"/>
      <c r="M373" s="37">
        <v>188516.95</v>
      </c>
      <c r="N373" s="37">
        <f t="shared" si="38"/>
        <v>33933.050999999999</v>
      </c>
      <c r="O373" s="37">
        <f t="shared" si="37"/>
        <v>222450.00100000002</v>
      </c>
      <c r="P373" s="34"/>
    </row>
    <row r="374" spans="1:16">
      <c r="A374" s="32">
        <v>373</v>
      </c>
      <c r="B374" s="52" t="s">
        <v>784</v>
      </c>
      <c r="C374" s="34" t="s">
        <v>317</v>
      </c>
      <c r="D374" s="34" t="s">
        <v>1220</v>
      </c>
      <c r="E374" s="34" t="s">
        <v>1290</v>
      </c>
      <c r="F374" s="35">
        <v>45922</v>
      </c>
      <c r="G374" s="35">
        <v>45889</v>
      </c>
      <c r="H374" s="34"/>
      <c r="I374" s="36" t="s">
        <v>1291</v>
      </c>
      <c r="J374" s="36" t="s">
        <v>792</v>
      </c>
      <c r="K374" s="34"/>
      <c r="L374" s="34"/>
      <c r="M374" s="37">
        <v>188516.95</v>
      </c>
      <c r="N374" s="37">
        <f t="shared" si="38"/>
        <v>33933.050999999999</v>
      </c>
      <c r="O374" s="37">
        <f t="shared" si="37"/>
        <v>222450.00100000002</v>
      </c>
      <c r="P374" s="34"/>
    </row>
    <row r="375" spans="1:16">
      <c r="A375" s="32">
        <v>374</v>
      </c>
      <c r="B375" s="52" t="s">
        <v>784</v>
      </c>
      <c r="C375" s="34" t="s">
        <v>317</v>
      </c>
      <c r="D375" s="34" t="s">
        <v>795</v>
      </c>
      <c r="E375" s="34" t="s">
        <v>1292</v>
      </c>
      <c r="F375" s="35">
        <v>45936</v>
      </c>
      <c r="G375" s="35">
        <v>45930</v>
      </c>
      <c r="H375" s="34"/>
      <c r="I375" s="36" t="s">
        <v>529</v>
      </c>
      <c r="J375" s="36"/>
      <c r="K375" s="34"/>
      <c r="L375" s="34"/>
      <c r="M375" s="37">
        <v>190524</v>
      </c>
      <c r="N375" s="37">
        <f t="shared" si="38"/>
        <v>34294.32</v>
      </c>
      <c r="O375" s="37">
        <f t="shared" si="37"/>
        <v>224818.32</v>
      </c>
      <c r="P375" s="34"/>
    </row>
    <row r="376" spans="1:16">
      <c r="A376" s="32">
        <v>375</v>
      </c>
      <c r="B376" s="52" t="s">
        <v>784</v>
      </c>
      <c r="C376" s="34" t="s">
        <v>630</v>
      </c>
      <c r="D376" s="34" t="s">
        <v>795</v>
      </c>
      <c r="E376" s="34" t="s">
        <v>1293</v>
      </c>
      <c r="F376" s="35">
        <v>45937</v>
      </c>
      <c r="G376" s="35">
        <f>F376</f>
        <v>45937</v>
      </c>
      <c r="H376" s="34"/>
      <c r="I376" s="36" t="s">
        <v>1294</v>
      </c>
      <c r="J376" s="36"/>
      <c r="K376" s="34"/>
      <c r="L376" s="34"/>
      <c r="M376" s="37">
        <v>17600</v>
      </c>
      <c r="N376" s="37">
        <f t="shared" si="38"/>
        <v>3168</v>
      </c>
      <c r="O376" s="37">
        <f t="shared" si="37"/>
        <v>20768</v>
      </c>
      <c r="P376" s="34"/>
    </row>
    <row r="377" spans="1:16">
      <c r="A377" s="32">
        <v>376</v>
      </c>
      <c r="B377" s="52" t="s">
        <v>784</v>
      </c>
      <c r="C377" s="34" t="s">
        <v>317</v>
      </c>
      <c r="D377" s="34" t="s">
        <v>795</v>
      </c>
      <c r="E377" s="34" t="s">
        <v>1295</v>
      </c>
      <c r="F377" s="35">
        <v>45943</v>
      </c>
      <c r="G377" s="35">
        <f t="shared" ref="G377:G379" si="41">F377</f>
        <v>45943</v>
      </c>
      <c r="H377" s="34"/>
      <c r="I377" s="36" t="s">
        <v>1296</v>
      </c>
      <c r="J377" s="36"/>
      <c r="K377" s="34"/>
      <c r="L377" s="34"/>
      <c r="M377" s="37">
        <v>190524</v>
      </c>
      <c r="N377" s="37">
        <f t="shared" si="38"/>
        <v>34294.32</v>
      </c>
      <c r="O377" s="37">
        <f t="shared" si="37"/>
        <v>224818.32</v>
      </c>
      <c r="P377" s="34"/>
    </row>
    <row r="378" spans="1:16">
      <c r="A378" s="32">
        <v>377</v>
      </c>
      <c r="B378" s="52" t="s">
        <v>784</v>
      </c>
      <c r="C378" s="34" t="s">
        <v>630</v>
      </c>
      <c r="D378" s="34" t="s">
        <v>795</v>
      </c>
      <c r="E378" s="34" t="s">
        <v>1297</v>
      </c>
      <c r="F378" s="35">
        <v>45944</v>
      </c>
      <c r="G378" s="35">
        <f t="shared" si="41"/>
        <v>45944</v>
      </c>
      <c r="H378" s="34"/>
      <c r="I378" s="36" t="s">
        <v>1298</v>
      </c>
      <c r="J378" s="36"/>
      <c r="K378" s="34"/>
      <c r="L378" s="34"/>
      <c r="M378" s="37">
        <v>35200</v>
      </c>
      <c r="N378" s="37">
        <f t="shared" si="38"/>
        <v>6336</v>
      </c>
      <c r="O378" s="37">
        <f t="shared" si="37"/>
        <v>41536</v>
      </c>
      <c r="P378" s="34"/>
    </row>
    <row r="379" spans="1:16">
      <c r="A379" s="32">
        <v>378</v>
      </c>
      <c r="B379" s="52" t="s">
        <v>784</v>
      </c>
      <c r="C379" s="34" t="s">
        <v>630</v>
      </c>
      <c r="D379" s="34" t="s">
        <v>795</v>
      </c>
      <c r="E379" s="34" t="s">
        <v>1297</v>
      </c>
      <c r="F379" s="35">
        <v>45944</v>
      </c>
      <c r="G379" s="35">
        <f t="shared" si="41"/>
        <v>45944</v>
      </c>
      <c r="H379" s="34"/>
      <c r="I379" s="36" t="s">
        <v>1299</v>
      </c>
      <c r="J379" s="36"/>
      <c r="K379" s="34"/>
      <c r="L379" s="34"/>
      <c r="M379" s="37"/>
      <c r="N379" s="37"/>
      <c r="O379" s="37">
        <f t="shared" si="37"/>
        <v>0</v>
      </c>
      <c r="P379" s="34"/>
    </row>
    <row r="380" spans="1:16">
      <c r="A380" s="32">
        <v>379</v>
      </c>
      <c r="B380" s="52" t="s">
        <v>784</v>
      </c>
      <c r="C380" s="34" t="s">
        <v>317</v>
      </c>
      <c r="D380" s="34" t="s">
        <v>795</v>
      </c>
      <c r="E380" s="34" t="s">
        <v>1300</v>
      </c>
      <c r="F380" s="35">
        <v>45945</v>
      </c>
      <c r="G380" s="35">
        <f>F380</f>
        <v>45945</v>
      </c>
      <c r="H380" s="34"/>
      <c r="I380" s="36" t="s">
        <v>1301</v>
      </c>
      <c r="J380" s="36"/>
      <c r="K380" s="34"/>
      <c r="L380" s="34"/>
      <c r="M380" s="37">
        <v>190524</v>
      </c>
      <c r="N380" s="37">
        <f t="shared" si="38"/>
        <v>34294.32</v>
      </c>
      <c r="O380" s="37">
        <f t="shared" si="37"/>
        <v>224818.32</v>
      </c>
      <c r="P380" s="34"/>
    </row>
    <row r="381" spans="1:16">
      <c r="A381" s="32">
        <v>380</v>
      </c>
      <c r="B381" s="52" t="s">
        <v>784</v>
      </c>
      <c r="C381" s="34" t="s">
        <v>317</v>
      </c>
      <c r="D381" s="34" t="s">
        <v>795</v>
      </c>
      <c r="E381" s="34" t="s">
        <v>1302</v>
      </c>
      <c r="F381" s="35">
        <v>45946</v>
      </c>
      <c r="G381" s="35">
        <f t="shared" ref="G381:G382" si="42">F381</f>
        <v>45946</v>
      </c>
      <c r="H381" s="34"/>
      <c r="I381" s="36" t="s">
        <v>1303</v>
      </c>
      <c r="J381" s="36"/>
      <c r="K381" s="34"/>
      <c r="L381" s="34"/>
      <c r="M381" s="37">
        <v>76911</v>
      </c>
      <c r="N381" s="37">
        <f t="shared" si="38"/>
        <v>13843.98</v>
      </c>
      <c r="O381" s="37">
        <f t="shared" si="37"/>
        <v>90754.98</v>
      </c>
      <c r="P381" s="34"/>
    </row>
    <row r="382" spans="1:16">
      <c r="A382" s="32">
        <v>381</v>
      </c>
      <c r="B382" s="52" t="s">
        <v>784</v>
      </c>
      <c r="C382" s="34" t="s">
        <v>317</v>
      </c>
      <c r="D382" s="34" t="s">
        <v>795</v>
      </c>
      <c r="E382" s="34" t="s">
        <v>1304</v>
      </c>
      <c r="F382" s="35">
        <v>45950</v>
      </c>
      <c r="G382" s="35">
        <f t="shared" si="42"/>
        <v>45950</v>
      </c>
      <c r="H382" s="34"/>
      <c r="I382" s="36" t="s">
        <v>1305</v>
      </c>
      <c r="J382" s="36"/>
      <c r="K382" s="34"/>
      <c r="L382" s="34"/>
      <c r="M382" s="37">
        <v>190524</v>
      </c>
      <c r="N382" s="37">
        <f t="shared" si="38"/>
        <v>34294.32</v>
      </c>
      <c r="O382" s="37">
        <f t="shared" si="37"/>
        <v>224818.32</v>
      </c>
      <c r="P382" s="34"/>
    </row>
    <row r="383" spans="1:16">
      <c r="A383" s="32">
        <v>382</v>
      </c>
      <c r="B383" s="52" t="s">
        <v>784</v>
      </c>
      <c r="C383" s="34" t="s">
        <v>630</v>
      </c>
      <c r="D383" s="34" t="s">
        <v>795</v>
      </c>
      <c r="E383" s="34" t="s">
        <v>1306</v>
      </c>
      <c r="F383" s="35">
        <v>45950</v>
      </c>
      <c r="G383" s="35">
        <v>45937</v>
      </c>
      <c r="H383" s="34"/>
      <c r="I383" s="36" t="s">
        <v>1307</v>
      </c>
      <c r="J383" s="36"/>
      <c r="K383" s="34"/>
      <c r="L383" s="34"/>
      <c r="M383" s="37">
        <v>17600</v>
      </c>
      <c r="N383" s="37">
        <f t="shared" si="38"/>
        <v>3168</v>
      </c>
      <c r="O383" s="37">
        <f t="shared" si="37"/>
        <v>20768</v>
      </c>
      <c r="P383" s="34"/>
    </row>
    <row r="384" spans="1:16">
      <c r="A384" s="32">
        <v>383</v>
      </c>
      <c r="B384" s="52" t="s">
        <v>784</v>
      </c>
      <c r="C384" s="34" t="s">
        <v>630</v>
      </c>
      <c r="D384" s="34" t="s">
        <v>795</v>
      </c>
      <c r="E384" s="34" t="s">
        <v>1308</v>
      </c>
      <c r="F384" s="35">
        <v>45950</v>
      </c>
      <c r="G384" s="35">
        <f>F384</f>
        <v>45950</v>
      </c>
      <c r="H384" s="34"/>
      <c r="I384" s="36" t="s">
        <v>1309</v>
      </c>
      <c r="J384" s="36" t="s">
        <v>792</v>
      </c>
      <c r="K384" s="34"/>
      <c r="L384" s="34"/>
      <c r="M384" s="37">
        <v>17600</v>
      </c>
      <c r="N384" s="37">
        <f t="shared" si="38"/>
        <v>3168</v>
      </c>
      <c r="O384" s="37">
        <f t="shared" si="37"/>
        <v>20768</v>
      </c>
      <c r="P384" s="34"/>
    </row>
    <row r="385" spans="1:16">
      <c r="A385" s="32">
        <v>384</v>
      </c>
      <c r="B385" s="52" t="s">
        <v>784</v>
      </c>
      <c r="C385" s="34" t="s">
        <v>630</v>
      </c>
      <c r="D385" s="34" t="s">
        <v>795</v>
      </c>
      <c r="E385" s="34" t="s">
        <v>1310</v>
      </c>
      <c r="F385" s="35">
        <v>45950</v>
      </c>
      <c r="G385" s="35">
        <v>45937</v>
      </c>
      <c r="H385" s="34"/>
      <c r="I385" s="36" t="s">
        <v>1311</v>
      </c>
      <c r="J385" s="36"/>
      <c r="K385" s="34"/>
      <c r="L385" s="34"/>
      <c r="M385" s="37">
        <v>17600</v>
      </c>
      <c r="N385" s="37">
        <f t="shared" si="38"/>
        <v>3168</v>
      </c>
      <c r="O385" s="37">
        <f t="shared" si="37"/>
        <v>20768</v>
      </c>
      <c r="P385" s="34"/>
    </row>
    <row r="386" spans="1:16">
      <c r="A386" s="32">
        <v>385</v>
      </c>
      <c r="B386" s="52" t="s">
        <v>784</v>
      </c>
      <c r="C386" s="34" t="s">
        <v>630</v>
      </c>
      <c r="D386" s="34" t="s">
        <v>795</v>
      </c>
      <c r="E386" s="34" t="s">
        <v>1312</v>
      </c>
      <c r="F386" s="35">
        <v>45950</v>
      </c>
      <c r="G386" s="35">
        <v>45937</v>
      </c>
      <c r="H386" s="34"/>
      <c r="I386" s="36" t="s">
        <v>503</v>
      </c>
      <c r="J386" s="36" t="s">
        <v>792</v>
      </c>
      <c r="K386" s="34"/>
      <c r="L386" s="34"/>
      <c r="M386" s="37">
        <v>17600</v>
      </c>
      <c r="N386" s="37">
        <f t="shared" si="38"/>
        <v>3168</v>
      </c>
      <c r="O386" s="37">
        <f t="shared" si="37"/>
        <v>20768</v>
      </c>
      <c r="P386" s="34"/>
    </row>
    <row r="387" spans="1:16">
      <c r="A387" s="32">
        <v>386</v>
      </c>
      <c r="B387" s="52" t="s">
        <v>784</v>
      </c>
      <c r="C387" s="34" t="s">
        <v>630</v>
      </c>
      <c r="D387" s="34" t="s">
        <v>795</v>
      </c>
      <c r="E387" s="34" t="s">
        <v>1313</v>
      </c>
      <c r="F387" s="35">
        <v>45950</v>
      </c>
      <c r="G387" s="35">
        <v>45937</v>
      </c>
      <c r="H387" s="34"/>
      <c r="I387" s="36" t="s">
        <v>335</v>
      </c>
      <c r="J387" s="36"/>
      <c r="K387" s="34"/>
      <c r="L387" s="34"/>
      <c r="M387" s="37">
        <v>35200</v>
      </c>
      <c r="N387" s="37">
        <f t="shared" si="38"/>
        <v>6336</v>
      </c>
      <c r="O387" s="37">
        <f t="shared" ref="O387:O450" si="43">SUM(M387:N387)</f>
        <v>41536</v>
      </c>
      <c r="P387" s="34"/>
    </row>
    <row r="388" spans="1:16">
      <c r="A388" s="32">
        <v>387</v>
      </c>
      <c r="B388" s="52" t="s">
        <v>784</v>
      </c>
      <c r="C388" s="34" t="s">
        <v>630</v>
      </c>
      <c r="D388" s="34" t="s">
        <v>795</v>
      </c>
      <c r="E388" s="34" t="s">
        <v>1313</v>
      </c>
      <c r="F388" s="35">
        <v>45950</v>
      </c>
      <c r="G388" s="35">
        <v>45937</v>
      </c>
      <c r="H388" s="34"/>
      <c r="I388" s="36" t="s">
        <v>562</v>
      </c>
      <c r="J388" s="36"/>
      <c r="K388" s="34"/>
      <c r="L388" s="34"/>
      <c r="M388" s="37"/>
      <c r="N388" s="37"/>
      <c r="O388" s="37">
        <f t="shared" si="43"/>
        <v>0</v>
      </c>
      <c r="P388" s="34"/>
    </row>
    <row r="389" spans="1:16">
      <c r="A389" s="32">
        <v>388</v>
      </c>
      <c r="B389" s="52" t="s">
        <v>784</v>
      </c>
      <c r="C389" s="34" t="s">
        <v>317</v>
      </c>
      <c r="D389" s="34" t="s">
        <v>795</v>
      </c>
      <c r="E389" s="34" t="s">
        <v>1314</v>
      </c>
      <c r="F389" s="35">
        <v>45950</v>
      </c>
      <c r="G389" s="35">
        <v>45938</v>
      </c>
      <c r="H389" s="34"/>
      <c r="I389" s="36" t="s">
        <v>1315</v>
      </c>
      <c r="J389" s="36"/>
      <c r="K389" s="34"/>
      <c r="L389" s="34"/>
      <c r="M389" s="37">
        <v>190524</v>
      </c>
      <c r="N389" s="37">
        <f t="shared" si="38"/>
        <v>34294.32</v>
      </c>
      <c r="O389" s="37">
        <f t="shared" si="43"/>
        <v>224818.32</v>
      </c>
      <c r="P389" s="34"/>
    </row>
    <row r="390" spans="1:16">
      <c r="A390" s="32">
        <v>389</v>
      </c>
      <c r="B390" s="52" t="s">
        <v>784</v>
      </c>
      <c r="C390" s="34" t="s">
        <v>630</v>
      </c>
      <c r="D390" s="34" t="s">
        <v>795</v>
      </c>
      <c r="E390" s="34" t="s">
        <v>1314</v>
      </c>
      <c r="F390" s="35">
        <v>45950</v>
      </c>
      <c r="G390" s="35">
        <v>45938</v>
      </c>
      <c r="H390" s="34"/>
      <c r="I390" s="36" t="s">
        <v>617</v>
      </c>
      <c r="J390" s="36"/>
      <c r="K390" s="34"/>
      <c r="L390" s="34"/>
      <c r="M390" s="37">
        <v>35200</v>
      </c>
      <c r="N390" s="37">
        <f t="shared" si="38"/>
        <v>6336</v>
      </c>
      <c r="O390" s="37">
        <f t="shared" si="43"/>
        <v>41536</v>
      </c>
      <c r="P390" s="34"/>
    </row>
    <row r="391" spans="1:16">
      <c r="A391" s="32">
        <v>390</v>
      </c>
      <c r="B391" s="52" t="s">
        <v>784</v>
      </c>
      <c r="C391" s="34" t="s">
        <v>630</v>
      </c>
      <c r="D391" s="34" t="s">
        <v>795</v>
      </c>
      <c r="E391" s="34" t="s">
        <v>1314</v>
      </c>
      <c r="F391" s="35">
        <v>45950</v>
      </c>
      <c r="G391" s="35">
        <v>45938</v>
      </c>
      <c r="H391" s="34"/>
      <c r="I391" s="36" t="s">
        <v>544</v>
      </c>
      <c r="J391" s="36"/>
      <c r="K391" s="34"/>
      <c r="L391" s="34"/>
      <c r="M391" s="37"/>
      <c r="N391" s="37"/>
      <c r="O391" s="37">
        <f t="shared" si="43"/>
        <v>0</v>
      </c>
      <c r="P391" s="34"/>
    </row>
    <row r="392" spans="1:16">
      <c r="A392" s="32">
        <v>391</v>
      </c>
      <c r="B392" s="52" t="s">
        <v>784</v>
      </c>
      <c r="C392" s="34" t="s">
        <v>630</v>
      </c>
      <c r="D392" s="34" t="s">
        <v>795</v>
      </c>
      <c r="E392" s="34" t="s">
        <v>1316</v>
      </c>
      <c r="F392" s="35">
        <v>45950</v>
      </c>
      <c r="G392" s="35">
        <v>45937</v>
      </c>
      <c r="H392" s="34"/>
      <c r="I392" s="36" t="s">
        <v>628</v>
      </c>
      <c r="J392" s="36"/>
      <c r="K392" s="34"/>
      <c r="L392" s="34"/>
      <c r="M392" s="37">
        <v>17600</v>
      </c>
      <c r="N392" s="37">
        <f t="shared" si="38"/>
        <v>3168</v>
      </c>
      <c r="O392" s="37">
        <f t="shared" si="43"/>
        <v>20768</v>
      </c>
      <c r="P392" s="34"/>
    </row>
    <row r="393" spans="1:16">
      <c r="A393" s="32">
        <v>392</v>
      </c>
      <c r="B393" s="52" t="s">
        <v>784</v>
      </c>
      <c r="C393" s="34" t="s">
        <v>630</v>
      </c>
      <c r="D393" s="34" t="s">
        <v>795</v>
      </c>
      <c r="E393" s="34" t="s">
        <v>1317</v>
      </c>
      <c r="F393" s="35">
        <v>45950</v>
      </c>
      <c r="G393" s="35">
        <v>45937</v>
      </c>
      <c r="H393" s="34"/>
      <c r="I393" s="36" t="s">
        <v>474</v>
      </c>
      <c r="J393" s="36"/>
      <c r="K393" s="34"/>
      <c r="L393" s="34"/>
      <c r="M393" s="37">
        <v>17600</v>
      </c>
      <c r="N393" s="37">
        <f t="shared" si="38"/>
        <v>3168</v>
      </c>
      <c r="O393" s="37">
        <f t="shared" si="43"/>
        <v>20768</v>
      </c>
      <c r="P393" s="34"/>
    </row>
    <row r="394" spans="1:16">
      <c r="A394" s="32">
        <v>393</v>
      </c>
      <c r="B394" s="52" t="s">
        <v>784</v>
      </c>
      <c r="C394" s="34" t="s">
        <v>630</v>
      </c>
      <c r="D394" s="34" t="s">
        <v>795</v>
      </c>
      <c r="E394" s="34" t="s">
        <v>1318</v>
      </c>
      <c r="F394" s="35">
        <v>45950</v>
      </c>
      <c r="G394" s="35">
        <v>45937</v>
      </c>
      <c r="H394" s="34"/>
      <c r="I394" s="36" t="s">
        <v>1319</v>
      </c>
      <c r="J394" s="36" t="s">
        <v>792</v>
      </c>
      <c r="K394" s="34"/>
      <c r="L394" s="34"/>
      <c r="M394" s="37">
        <v>17600</v>
      </c>
      <c r="N394" s="37">
        <f t="shared" si="38"/>
        <v>3168</v>
      </c>
      <c r="O394" s="37">
        <f t="shared" si="43"/>
        <v>20768</v>
      </c>
      <c r="P394" s="34"/>
    </row>
    <row r="395" spans="1:16">
      <c r="A395" s="32">
        <v>394</v>
      </c>
      <c r="B395" s="52" t="s">
        <v>784</v>
      </c>
      <c r="C395" s="34" t="s">
        <v>630</v>
      </c>
      <c r="D395" s="34" t="s">
        <v>795</v>
      </c>
      <c r="E395" s="34" t="s">
        <v>1320</v>
      </c>
      <c r="F395" s="35">
        <v>45950</v>
      </c>
      <c r="G395" s="35">
        <v>45937</v>
      </c>
      <c r="H395" s="34"/>
      <c r="I395" s="36" t="s">
        <v>428</v>
      </c>
      <c r="J395" s="36" t="s">
        <v>792</v>
      </c>
      <c r="K395" s="34"/>
      <c r="L395" s="34"/>
      <c r="M395" s="37">
        <v>17600</v>
      </c>
      <c r="N395" s="37">
        <f t="shared" si="38"/>
        <v>3168</v>
      </c>
      <c r="O395" s="37">
        <f t="shared" si="43"/>
        <v>20768</v>
      </c>
      <c r="P395" s="34"/>
    </row>
    <row r="396" spans="1:16">
      <c r="A396" s="32">
        <v>395</v>
      </c>
      <c r="B396" s="52" t="s">
        <v>784</v>
      </c>
      <c r="C396" s="34" t="s">
        <v>630</v>
      </c>
      <c r="D396" s="34" t="s">
        <v>795</v>
      </c>
      <c r="E396" s="34" t="s">
        <v>1321</v>
      </c>
      <c r="F396" s="35">
        <v>45950</v>
      </c>
      <c r="G396" s="35">
        <v>45937</v>
      </c>
      <c r="H396" s="34"/>
      <c r="I396" s="36" t="s">
        <v>1322</v>
      </c>
      <c r="J396" s="36"/>
      <c r="K396" s="34"/>
      <c r="L396" s="34"/>
      <c r="M396" s="37">
        <v>17600</v>
      </c>
      <c r="N396" s="37">
        <f t="shared" si="38"/>
        <v>3168</v>
      </c>
      <c r="O396" s="37">
        <f t="shared" si="43"/>
        <v>20768</v>
      </c>
      <c r="P396" s="34"/>
    </row>
    <row r="397" spans="1:16">
      <c r="A397" s="32">
        <v>396</v>
      </c>
      <c r="B397" s="52" t="s">
        <v>784</v>
      </c>
      <c r="C397" s="34" t="s">
        <v>630</v>
      </c>
      <c r="D397" s="34" t="s">
        <v>795</v>
      </c>
      <c r="E397" s="34" t="s">
        <v>1323</v>
      </c>
      <c r="F397" s="35">
        <v>45950</v>
      </c>
      <c r="G397" s="35">
        <v>45937</v>
      </c>
      <c r="H397" s="34"/>
      <c r="I397" s="36" t="s">
        <v>1324</v>
      </c>
      <c r="J397" s="36" t="s">
        <v>792</v>
      </c>
      <c r="K397" s="34"/>
      <c r="L397" s="34"/>
      <c r="M397" s="37">
        <v>17600</v>
      </c>
      <c r="N397" s="37">
        <f t="shared" si="38"/>
        <v>3168</v>
      </c>
      <c r="O397" s="37">
        <f t="shared" si="43"/>
        <v>20768</v>
      </c>
      <c r="P397" s="34"/>
    </row>
    <row r="398" spans="1:16">
      <c r="A398" s="32">
        <v>397</v>
      </c>
      <c r="B398" s="52" t="s">
        <v>784</v>
      </c>
      <c r="C398" s="34" t="s">
        <v>630</v>
      </c>
      <c r="D398" s="34" t="s">
        <v>795</v>
      </c>
      <c r="E398" s="34" t="s">
        <v>1325</v>
      </c>
      <c r="F398" s="35">
        <v>45950</v>
      </c>
      <c r="G398" s="35">
        <v>45940</v>
      </c>
      <c r="H398" s="34"/>
      <c r="I398" s="36" t="s">
        <v>1326</v>
      </c>
      <c r="J398" s="36" t="s">
        <v>792</v>
      </c>
      <c r="K398" s="34"/>
      <c r="L398" s="34"/>
      <c r="M398" s="37">
        <v>35200</v>
      </c>
      <c r="N398" s="37">
        <f t="shared" si="38"/>
        <v>6336</v>
      </c>
      <c r="O398" s="37">
        <f t="shared" si="43"/>
        <v>41536</v>
      </c>
      <c r="P398" s="34"/>
    </row>
    <row r="399" spans="1:16">
      <c r="A399" s="32">
        <v>398</v>
      </c>
      <c r="B399" s="52" t="s">
        <v>784</v>
      </c>
      <c r="C399" s="34" t="s">
        <v>630</v>
      </c>
      <c r="D399" s="34" t="s">
        <v>795</v>
      </c>
      <c r="E399" s="34" t="s">
        <v>1325</v>
      </c>
      <c r="F399" s="35">
        <v>45950</v>
      </c>
      <c r="G399" s="35">
        <v>45940</v>
      </c>
      <c r="H399" s="34"/>
      <c r="I399" s="36" t="s">
        <v>1327</v>
      </c>
      <c r="J399" s="36" t="s">
        <v>792</v>
      </c>
      <c r="K399" s="34"/>
      <c r="L399" s="34"/>
      <c r="M399" s="37"/>
      <c r="N399" s="37"/>
      <c r="O399" s="37">
        <f t="shared" si="43"/>
        <v>0</v>
      </c>
      <c r="P399" s="34"/>
    </row>
    <row r="400" spans="1:16">
      <c r="A400" s="32">
        <v>399</v>
      </c>
      <c r="B400" s="52" t="s">
        <v>784</v>
      </c>
      <c r="C400" s="34" t="s">
        <v>317</v>
      </c>
      <c r="D400" s="34" t="s">
        <v>795</v>
      </c>
      <c r="E400" s="34" t="s">
        <v>1328</v>
      </c>
      <c r="F400" s="35">
        <v>45950</v>
      </c>
      <c r="G400" s="35">
        <v>45916</v>
      </c>
      <c r="H400" s="34"/>
      <c r="I400" s="36" t="s">
        <v>1329</v>
      </c>
      <c r="J400" s="36"/>
      <c r="K400" s="34"/>
      <c r="L400" s="34"/>
      <c r="M400" s="37">
        <v>190524</v>
      </c>
      <c r="N400" s="37">
        <f t="shared" si="38"/>
        <v>34294.32</v>
      </c>
      <c r="O400" s="37">
        <f t="shared" si="43"/>
        <v>224818.32</v>
      </c>
      <c r="P400" s="34"/>
    </row>
    <row r="401" spans="1:16">
      <c r="A401" s="32">
        <v>400</v>
      </c>
      <c r="B401" s="52" t="s">
        <v>784</v>
      </c>
      <c r="C401" s="34" t="s">
        <v>317</v>
      </c>
      <c r="D401" s="34" t="s">
        <v>795</v>
      </c>
      <c r="E401" s="34" t="s">
        <v>1330</v>
      </c>
      <c r="F401" s="35">
        <v>45950</v>
      </c>
      <c r="G401" s="35">
        <v>45916</v>
      </c>
      <c r="H401" s="34"/>
      <c r="I401" s="36" t="s">
        <v>1331</v>
      </c>
      <c r="J401" s="36"/>
      <c r="K401" s="34"/>
      <c r="L401" s="34"/>
      <c r="M401" s="37">
        <v>190524</v>
      </c>
      <c r="N401" s="37">
        <f t="shared" si="38"/>
        <v>34294.32</v>
      </c>
      <c r="O401" s="37">
        <f t="shared" si="43"/>
        <v>224818.32</v>
      </c>
      <c r="P401" s="34"/>
    </row>
    <row r="402" spans="1:16">
      <c r="A402" s="32">
        <v>401</v>
      </c>
      <c r="B402" s="52" t="s">
        <v>784</v>
      </c>
      <c r="C402" s="34" t="s">
        <v>317</v>
      </c>
      <c r="D402" s="34" t="s">
        <v>795</v>
      </c>
      <c r="E402" s="34" t="s">
        <v>1332</v>
      </c>
      <c r="F402" s="35">
        <v>45950</v>
      </c>
      <c r="G402" s="35">
        <v>45919</v>
      </c>
      <c r="H402" s="34"/>
      <c r="I402" s="36" t="s">
        <v>492</v>
      </c>
      <c r="J402" s="36"/>
      <c r="K402" s="34"/>
      <c r="L402" s="34"/>
      <c r="M402" s="37">
        <v>190524</v>
      </c>
      <c r="N402" s="37">
        <f t="shared" si="38"/>
        <v>34294.32</v>
      </c>
      <c r="O402" s="37">
        <f t="shared" si="43"/>
        <v>224818.32</v>
      </c>
      <c r="P402" s="34"/>
    </row>
    <row r="403" spans="1:16">
      <c r="A403" s="32">
        <v>402</v>
      </c>
      <c r="B403" s="52" t="s">
        <v>784</v>
      </c>
      <c r="C403" s="34" t="s">
        <v>630</v>
      </c>
      <c r="D403" s="34" t="s">
        <v>795</v>
      </c>
      <c r="E403" s="34" t="s">
        <v>1333</v>
      </c>
      <c r="F403" s="35">
        <v>45950</v>
      </c>
      <c r="G403" s="35">
        <v>45937</v>
      </c>
      <c r="H403" s="34"/>
      <c r="I403" s="36" t="s">
        <v>1334</v>
      </c>
      <c r="J403" s="36"/>
      <c r="K403" s="34"/>
      <c r="L403" s="34"/>
      <c r="M403" s="37">
        <v>17600</v>
      </c>
      <c r="N403" s="37">
        <f t="shared" ref="N403:N441" si="44">M403*18%</f>
        <v>3168</v>
      </c>
      <c r="O403" s="37">
        <f t="shared" si="43"/>
        <v>20768</v>
      </c>
      <c r="P403" s="34"/>
    </row>
    <row r="404" spans="1:16">
      <c r="A404" s="32">
        <v>403</v>
      </c>
      <c r="B404" s="52" t="s">
        <v>784</v>
      </c>
      <c r="C404" s="34" t="s">
        <v>317</v>
      </c>
      <c r="D404" s="34" t="s">
        <v>795</v>
      </c>
      <c r="E404" s="34" t="s">
        <v>1335</v>
      </c>
      <c r="F404" s="35">
        <v>45950</v>
      </c>
      <c r="G404" s="35">
        <v>45916</v>
      </c>
      <c r="H404" s="34"/>
      <c r="I404" s="36" t="s">
        <v>1336</v>
      </c>
      <c r="J404" s="36"/>
      <c r="K404" s="34"/>
      <c r="L404" s="34"/>
      <c r="M404" s="37">
        <v>190524</v>
      </c>
      <c r="N404" s="37">
        <f t="shared" si="44"/>
        <v>34294.32</v>
      </c>
      <c r="O404" s="37">
        <f t="shared" si="43"/>
        <v>224818.32</v>
      </c>
      <c r="P404" s="34"/>
    </row>
    <row r="405" spans="1:16">
      <c r="A405" s="32">
        <v>404</v>
      </c>
      <c r="B405" s="52" t="s">
        <v>784</v>
      </c>
      <c r="C405" s="34" t="s">
        <v>317</v>
      </c>
      <c r="D405" s="34" t="s">
        <v>795</v>
      </c>
      <c r="E405" s="34" t="s">
        <v>1337</v>
      </c>
      <c r="F405" s="35">
        <v>45950</v>
      </c>
      <c r="G405" s="35">
        <v>45915</v>
      </c>
      <c r="H405" s="34"/>
      <c r="I405" s="36" t="s">
        <v>1338</v>
      </c>
      <c r="J405" s="36"/>
      <c r="K405" s="34"/>
      <c r="L405" s="34"/>
      <c r="M405" s="37">
        <v>190524</v>
      </c>
      <c r="N405" s="37">
        <f t="shared" si="44"/>
        <v>34294.32</v>
      </c>
      <c r="O405" s="37">
        <f t="shared" si="43"/>
        <v>224818.32</v>
      </c>
      <c r="P405" s="34"/>
    </row>
    <row r="406" spans="1:16">
      <c r="A406" s="32">
        <v>405</v>
      </c>
      <c r="B406" s="52" t="s">
        <v>784</v>
      </c>
      <c r="C406" s="34" t="s">
        <v>317</v>
      </c>
      <c r="D406" s="34" t="s">
        <v>795</v>
      </c>
      <c r="E406" s="34" t="s">
        <v>1339</v>
      </c>
      <c r="F406" s="35">
        <v>45950</v>
      </c>
      <c r="G406" s="35">
        <v>45913</v>
      </c>
      <c r="H406" s="34"/>
      <c r="I406" s="36" t="s">
        <v>554</v>
      </c>
      <c r="J406" s="36"/>
      <c r="K406" s="34"/>
      <c r="L406" s="34"/>
      <c r="M406" s="37">
        <v>190524</v>
      </c>
      <c r="N406" s="37">
        <f t="shared" si="44"/>
        <v>34294.32</v>
      </c>
      <c r="O406" s="37">
        <f t="shared" si="43"/>
        <v>224818.32</v>
      </c>
      <c r="P406" s="34"/>
    </row>
    <row r="407" spans="1:16">
      <c r="A407" s="32">
        <v>406</v>
      </c>
      <c r="B407" s="52" t="s">
        <v>784</v>
      </c>
      <c r="C407" s="34" t="s">
        <v>317</v>
      </c>
      <c r="D407" s="34" t="s">
        <v>795</v>
      </c>
      <c r="E407" s="34" t="s">
        <v>1340</v>
      </c>
      <c r="F407" s="35">
        <v>45952</v>
      </c>
      <c r="G407" s="35">
        <f>F407</f>
        <v>45952</v>
      </c>
      <c r="H407" s="34"/>
      <c r="I407" s="36" t="s">
        <v>539</v>
      </c>
      <c r="J407" s="36"/>
      <c r="K407" s="34"/>
      <c r="L407" s="34"/>
      <c r="M407" s="37">
        <v>190524</v>
      </c>
      <c r="N407" s="37">
        <f t="shared" si="44"/>
        <v>34294.32</v>
      </c>
      <c r="O407" s="37">
        <f t="shared" si="43"/>
        <v>224818.32</v>
      </c>
      <c r="P407" s="34"/>
    </row>
    <row r="408" spans="1:16">
      <c r="A408" s="32">
        <v>407</v>
      </c>
      <c r="B408" s="52" t="s">
        <v>784</v>
      </c>
      <c r="C408" s="34" t="s">
        <v>630</v>
      </c>
      <c r="D408" s="34" t="s">
        <v>795</v>
      </c>
      <c r="E408" s="34" t="s">
        <v>1340</v>
      </c>
      <c r="F408" s="35">
        <v>45952</v>
      </c>
      <c r="G408" s="35">
        <f t="shared" ref="G408:G420" si="45">F408</f>
        <v>45952</v>
      </c>
      <c r="H408" s="34"/>
      <c r="I408" s="36" t="s">
        <v>1341</v>
      </c>
      <c r="J408" s="36" t="s">
        <v>792</v>
      </c>
      <c r="K408" s="34"/>
      <c r="L408" s="34"/>
      <c r="M408" s="37">
        <v>17600</v>
      </c>
      <c r="N408" s="37">
        <f t="shared" si="44"/>
        <v>3168</v>
      </c>
      <c r="O408" s="37">
        <f t="shared" si="43"/>
        <v>20768</v>
      </c>
      <c r="P408" s="34"/>
    </row>
    <row r="409" spans="1:16">
      <c r="A409" s="32">
        <v>408</v>
      </c>
      <c r="B409" s="52" t="s">
        <v>784</v>
      </c>
      <c r="C409" s="34" t="s">
        <v>317</v>
      </c>
      <c r="D409" s="34" t="s">
        <v>795</v>
      </c>
      <c r="E409" s="34" t="s">
        <v>1342</v>
      </c>
      <c r="F409" s="35">
        <v>45952</v>
      </c>
      <c r="G409" s="35">
        <f t="shared" si="45"/>
        <v>45952</v>
      </c>
      <c r="H409" s="34"/>
      <c r="I409" s="36" t="s">
        <v>516</v>
      </c>
      <c r="J409" s="36"/>
      <c r="K409" s="34"/>
      <c r="L409" s="34"/>
      <c r="M409" s="37">
        <v>190524</v>
      </c>
      <c r="N409" s="37">
        <f t="shared" si="44"/>
        <v>34294.32</v>
      </c>
      <c r="O409" s="37">
        <f t="shared" si="43"/>
        <v>224818.32</v>
      </c>
      <c r="P409" s="34"/>
    </row>
    <row r="410" spans="1:16">
      <c r="A410" s="32">
        <v>409</v>
      </c>
      <c r="B410" s="52" t="s">
        <v>784</v>
      </c>
      <c r="C410" s="34" t="s">
        <v>630</v>
      </c>
      <c r="D410" s="34" t="s">
        <v>795</v>
      </c>
      <c r="E410" s="34" t="s">
        <v>1342</v>
      </c>
      <c r="F410" s="35">
        <v>45952</v>
      </c>
      <c r="G410" s="35">
        <f t="shared" si="45"/>
        <v>45952</v>
      </c>
      <c r="H410" s="34"/>
      <c r="I410" s="36" t="s">
        <v>502</v>
      </c>
      <c r="J410" s="36" t="s">
        <v>792</v>
      </c>
      <c r="K410" s="34"/>
      <c r="L410" s="34"/>
      <c r="M410" s="37">
        <v>17600</v>
      </c>
      <c r="N410" s="37">
        <f t="shared" si="44"/>
        <v>3168</v>
      </c>
      <c r="O410" s="37">
        <f t="shared" si="43"/>
        <v>20768</v>
      </c>
      <c r="P410" s="34"/>
    </row>
    <row r="411" spans="1:16">
      <c r="A411" s="32">
        <v>410</v>
      </c>
      <c r="B411" s="52" t="s">
        <v>784</v>
      </c>
      <c r="C411" s="34" t="s">
        <v>317</v>
      </c>
      <c r="D411" s="34" t="s">
        <v>795</v>
      </c>
      <c r="E411" s="34" t="s">
        <v>1343</v>
      </c>
      <c r="F411" s="35">
        <v>45952</v>
      </c>
      <c r="G411" s="35">
        <f t="shared" si="45"/>
        <v>45952</v>
      </c>
      <c r="H411" s="34"/>
      <c r="I411" s="36" t="s">
        <v>1344</v>
      </c>
      <c r="J411" s="36" t="s">
        <v>792</v>
      </c>
      <c r="K411" s="34"/>
      <c r="L411" s="34"/>
      <c r="M411" s="37">
        <v>190524</v>
      </c>
      <c r="N411" s="37">
        <f t="shared" si="44"/>
        <v>34294.32</v>
      </c>
      <c r="O411" s="37">
        <f t="shared" si="43"/>
        <v>224818.32</v>
      </c>
      <c r="P411" s="34"/>
    </row>
    <row r="412" spans="1:16">
      <c r="A412" s="32">
        <v>411</v>
      </c>
      <c r="B412" s="52" t="s">
        <v>784</v>
      </c>
      <c r="C412" s="34" t="s">
        <v>630</v>
      </c>
      <c r="D412" s="34" t="s">
        <v>795</v>
      </c>
      <c r="E412" s="34" t="s">
        <v>1343</v>
      </c>
      <c r="F412" s="35">
        <v>45952</v>
      </c>
      <c r="G412" s="35">
        <f t="shared" si="45"/>
        <v>45952</v>
      </c>
      <c r="H412" s="34"/>
      <c r="I412" s="36" t="s">
        <v>1345</v>
      </c>
      <c r="J412" s="36" t="s">
        <v>792</v>
      </c>
      <c r="K412" s="34"/>
      <c r="L412" s="34"/>
      <c r="M412" s="37">
        <v>17600</v>
      </c>
      <c r="N412" s="37">
        <f t="shared" si="44"/>
        <v>3168</v>
      </c>
      <c r="O412" s="37">
        <f t="shared" si="43"/>
        <v>20768</v>
      </c>
      <c r="P412" s="34"/>
    </row>
    <row r="413" spans="1:16">
      <c r="A413" s="32">
        <v>412</v>
      </c>
      <c r="B413" s="52" t="s">
        <v>784</v>
      </c>
      <c r="C413" s="34" t="s">
        <v>317</v>
      </c>
      <c r="D413" s="34" t="s">
        <v>795</v>
      </c>
      <c r="E413" s="34" t="s">
        <v>1346</v>
      </c>
      <c r="F413" s="35">
        <v>45957</v>
      </c>
      <c r="G413" s="35">
        <f t="shared" si="45"/>
        <v>45957</v>
      </c>
      <c r="H413" s="34"/>
      <c r="I413" s="36" t="s">
        <v>713</v>
      </c>
      <c r="J413" s="36" t="s">
        <v>792</v>
      </c>
      <c r="K413" s="34"/>
      <c r="L413" s="34"/>
      <c r="M413" s="37">
        <v>190524</v>
      </c>
      <c r="N413" s="37">
        <f t="shared" si="44"/>
        <v>34294.32</v>
      </c>
      <c r="O413" s="37">
        <f t="shared" si="43"/>
        <v>224818.32</v>
      </c>
      <c r="P413" s="34"/>
    </row>
    <row r="414" spans="1:16">
      <c r="A414" s="32">
        <v>413</v>
      </c>
      <c r="B414" s="52" t="s">
        <v>784</v>
      </c>
      <c r="C414" s="34" t="s">
        <v>630</v>
      </c>
      <c r="D414" s="34" t="s">
        <v>795</v>
      </c>
      <c r="E414" s="34" t="s">
        <v>1346</v>
      </c>
      <c r="F414" s="35">
        <v>45957</v>
      </c>
      <c r="G414" s="35">
        <f t="shared" si="45"/>
        <v>45957</v>
      </c>
      <c r="H414" s="34"/>
      <c r="I414" s="36" t="s">
        <v>1347</v>
      </c>
      <c r="J414" s="36" t="s">
        <v>792</v>
      </c>
      <c r="K414" s="34"/>
      <c r="L414" s="34"/>
      <c r="M414" s="37">
        <v>17600</v>
      </c>
      <c r="N414" s="37">
        <f t="shared" si="44"/>
        <v>3168</v>
      </c>
      <c r="O414" s="37">
        <f t="shared" si="43"/>
        <v>20768</v>
      </c>
      <c r="P414" s="34"/>
    </row>
    <row r="415" spans="1:16">
      <c r="A415" s="32">
        <v>414</v>
      </c>
      <c r="B415" s="52" t="s">
        <v>784</v>
      </c>
      <c r="C415" s="34" t="s">
        <v>630</v>
      </c>
      <c r="D415" s="34" t="s">
        <v>795</v>
      </c>
      <c r="E415" s="34" t="s">
        <v>1348</v>
      </c>
      <c r="F415" s="35">
        <v>45957</v>
      </c>
      <c r="G415" s="35">
        <f t="shared" si="45"/>
        <v>45957</v>
      </c>
      <c r="H415" s="34"/>
      <c r="I415" s="36" t="s">
        <v>400</v>
      </c>
      <c r="J415" s="36" t="s">
        <v>792</v>
      </c>
      <c r="K415" s="34"/>
      <c r="L415" s="34"/>
      <c r="M415" s="37">
        <v>19000</v>
      </c>
      <c r="N415" s="37">
        <f t="shared" si="44"/>
        <v>3420</v>
      </c>
      <c r="O415" s="37">
        <f t="shared" si="43"/>
        <v>22420</v>
      </c>
      <c r="P415" s="34"/>
    </row>
    <row r="416" spans="1:16">
      <c r="A416" s="32">
        <v>415</v>
      </c>
      <c r="B416" s="52" t="s">
        <v>784</v>
      </c>
      <c r="C416" s="34" t="s">
        <v>317</v>
      </c>
      <c r="D416" s="34" t="s">
        <v>795</v>
      </c>
      <c r="E416" s="34" t="s">
        <v>1349</v>
      </c>
      <c r="F416" s="35">
        <v>45957</v>
      </c>
      <c r="G416" s="35">
        <f t="shared" si="45"/>
        <v>45957</v>
      </c>
      <c r="H416" s="34"/>
      <c r="I416" s="36" t="s">
        <v>1350</v>
      </c>
      <c r="J416" s="36"/>
      <c r="K416" s="34"/>
      <c r="L416" s="34"/>
      <c r="M416" s="37">
        <v>190524</v>
      </c>
      <c r="N416" s="37">
        <f t="shared" si="44"/>
        <v>34294.32</v>
      </c>
      <c r="O416" s="37">
        <f t="shared" si="43"/>
        <v>224818.32</v>
      </c>
      <c r="P416" s="34"/>
    </row>
    <row r="417" spans="1:16">
      <c r="A417" s="32">
        <v>416</v>
      </c>
      <c r="B417" s="52" t="s">
        <v>784</v>
      </c>
      <c r="C417" s="34" t="s">
        <v>630</v>
      </c>
      <c r="D417" s="34" t="s">
        <v>795</v>
      </c>
      <c r="E417" s="34" t="s">
        <v>1349</v>
      </c>
      <c r="F417" s="35">
        <v>45957</v>
      </c>
      <c r="G417" s="35">
        <f t="shared" si="45"/>
        <v>45957</v>
      </c>
      <c r="H417" s="34"/>
      <c r="I417" s="36" t="s">
        <v>436</v>
      </c>
      <c r="J417" s="36" t="s">
        <v>792</v>
      </c>
      <c r="K417" s="34"/>
      <c r="L417" s="34"/>
      <c r="M417" s="37">
        <v>17600</v>
      </c>
      <c r="N417" s="37">
        <f t="shared" si="44"/>
        <v>3168</v>
      </c>
      <c r="O417" s="37">
        <f t="shared" si="43"/>
        <v>20768</v>
      </c>
      <c r="P417" s="34"/>
    </row>
    <row r="418" spans="1:16">
      <c r="A418" s="32">
        <v>417</v>
      </c>
      <c r="B418" s="52" t="s">
        <v>784</v>
      </c>
      <c r="C418" s="34" t="s">
        <v>317</v>
      </c>
      <c r="D418" s="34" t="s">
        <v>795</v>
      </c>
      <c r="E418" s="34" t="s">
        <v>1351</v>
      </c>
      <c r="F418" s="35">
        <v>45958</v>
      </c>
      <c r="G418" s="35">
        <f t="shared" si="45"/>
        <v>45958</v>
      </c>
      <c r="H418" s="34"/>
      <c r="I418" s="36" t="s">
        <v>1352</v>
      </c>
      <c r="J418" s="36" t="s">
        <v>792</v>
      </c>
      <c r="K418" s="34"/>
      <c r="L418" s="34"/>
      <c r="M418" s="37">
        <v>83500</v>
      </c>
      <c r="N418" s="37">
        <f t="shared" si="44"/>
        <v>15030</v>
      </c>
      <c r="O418" s="37">
        <f t="shared" si="43"/>
        <v>98530</v>
      </c>
      <c r="P418" s="34"/>
    </row>
    <row r="419" spans="1:16">
      <c r="A419" s="32">
        <v>418</v>
      </c>
      <c r="B419" s="52" t="s">
        <v>784</v>
      </c>
      <c r="C419" s="34" t="s">
        <v>630</v>
      </c>
      <c r="D419" s="34" t="s">
        <v>795</v>
      </c>
      <c r="E419" s="34" t="s">
        <v>1351</v>
      </c>
      <c r="F419" s="35">
        <v>45958</v>
      </c>
      <c r="G419" s="35">
        <f t="shared" si="45"/>
        <v>45958</v>
      </c>
      <c r="H419" s="34"/>
      <c r="I419" s="36" t="s">
        <v>1353</v>
      </c>
      <c r="J419" s="36"/>
      <c r="K419" s="34"/>
      <c r="L419" s="34"/>
      <c r="M419" s="37">
        <v>17600</v>
      </c>
      <c r="N419" s="37">
        <f t="shared" si="44"/>
        <v>3168</v>
      </c>
      <c r="O419" s="37">
        <f t="shared" si="43"/>
        <v>20768</v>
      </c>
      <c r="P419" s="34"/>
    </row>
    <row r="420" spans="1:16">
      <c r="A420" s="32">
        <v>419</v>
      </c>
      <c r="B420" s="52" t="s">
        <v>784</v>
      </c>
      <c r="C420" s="34" t="s">
        <v>317</v>
      </c>
      <c r="D420" s="34" t="s">
        <v>795</v>
      </c>
      <c r="E420" s="34" t="s">
        <v>1354</v>
      </c>
      <c r="F420" s="35">
        <v>45959</v>
      </c>
      <c r="G420" s="35">
        <f t="shared" si="45"/>
        <v>45959</v>
      </c>
      <c r="H420" s="34"/>
      <c r="I420" s="36" t="s">
        <v>1355</v>
      </c>
      <c r="J420" s="36"/>
      <c r="K420" s="34"/>
      <c r="L420" s="34"/>
      <c r="M420" s="37">
        <v>190524</v>
      </c>
      <c r="N420" s="37">
        <f t="shared" si="44"/>
        <v>34294.32</v>
      </c>
      <c r="O420" s="37">
        <f t="shared" si="43"/>
        <v>224818.32</v>
      </c>
      <c r="P420" s="34"/>
    </row>
    <row r="421" spans="1:16">
      <c r="A421" s="32">
        <v>420</v>
      </c>
      <c r="B421" s="52" t="s">
        <v>784</v>
      </c>
      <c r="C421" s="34" t="s">
        <v>317</v>
      </c>
      <c r="D421" s="34" t="s">
        <v>795</v>
      </c>
      <c r="E421" s="34" t="s">
        <v>1356</v>
      </c>
      <c r="F421" s="35">
        <v>45960</v>
      </c>
      <c r="G421" s="35">
        <v>45925</v>
      </c>
      <c r="H421" s="34"/>
      <c r="I421" s="36" t="s">
        <v>1357</v>
      </c>
      <c r="J421" s="36"/>
      <c r="K421" s="34"/>
      <c r="L421" s="34"/>
      <c r="M421" s="37">
        <v>190524</v>
      </c>
      <c r="N421" s="37">
        <f t="shared" si="44"/>
        <v>34294.32</v>
      </c>
      <c r="O421" s="37">
        <f t="shared" si="43"/>
        <v>224818.32</v>
      </c>
      <c r="P421" s="34"/>
    </row>
    <row r="422" spans="1:16">
      <c r="A422" s="32">
        <v>421</v>
      </c>
      <c r="B422" s="52" t="s">
        <v>784</v>
      </c>
      <c r="C422" s="34" t="s">
        <v>317</v>
      </c>
      <c r="D422" s="34" t="s">
        <v>795</v>
      </c>
      <c r="E422" s="34" t="s">
        <v>1358</v>
      </c>
      <c r="F422" s="35">
        <v>45960</v>
      </c>
      <c r="G422" s="35">
        <v>45920</v>
      </c>
      <c r="H422" s="34"/>
      <c r="I422" s="36" t="s">
        <v>1359</v>
      </c>
      <c r="J422" s="36" t="s">
        <v>792</v>
      </c>
      <c r="K422" s="34"/>
      <c r="L422" s="34"/>
      <c r="M422" s="37">
        <v>83500</v>
      </c>
      <c r="N422" s="37">
        <f t="shared" si="44"/>
        <v>15030</v>
      </c>
      <c r="O422" s="37">
        <f t="shared" si="43"/>
        <v>98530</v>
      </c>
      <c r="P422" s="34"/>
    </row>
    <row r="423" spans="1:16">
      <c r="A423" s="32">
        <v>422</v>
      </c>
      <c r="B423" s="52" t="s">
        <v>784</v>
      </c>
      <c r="C423" s="34" t="s">
        <v>317</v>
      </c>
      <c r="D423" s="34" t="s">
        <v>795</v>
      </c>
      <c r="E423" s="34" t="s">
        <v>1360</v>
      </c>
      <c r="F423" s="35">
        <v>45964</v>
      </c>
      <c r="G423" s="35">
        <f>F423</f>
        <v>45964</v>
      </c>
      <c r="H423" s="34"/>
      <c r="I423" s="36" t="s">
        <v>1361</v>
      </c>
      <c r="J423" s="36"/>
      <c r="K423" s="34"/>
      <c r="L423" s="34"/>
      <c r="M423" s="37">
        <v>190524</v>
      </c>
      <c r="N423" s="37">
        <f t="shared" si="44"/>
        <v>34294.32</v>
      </c>
      <c r="O423" s="37">
        <f t="shared" si="43"/>
        <v>224818.32</v>
      </c>
      <c r="P423" s="34"/>
    </row>
    <row r="424" spans="1:16">
      <c r="A424" s="32">
        <v>423</v>
      </c>
      <c r="B424" s="52" t="s">
        <v>784</v>
      </c>
      <c r="C424" s="34" t="s">
        <v>317</v>
      </c>
      <c r="D424" s="34" t="s">
        <v>795</v>
      </c>
      <c r="E424" s="34" t="s">
        <v>1362</v>
      </c>
      <c r="F424" s="35">
        <v>45964</v>
      </c>
      <c r="G424" s="35">
        <f t="shared" ref="G424:G437" si="46">F424</f>
        <v>45964</v>
      </c>
      <c r="H424" s="34"/>
      <c r="I424" s="36" t="s">
        <v>1363</v>
      </c>
      <c r="J424" s="36"/>
      <c r="K424" s="34"/>
      <c r="L424" s="34"/>
      <c r="M424" s="37">
        <v>190524</v>
      </c>
      <c r="N424" s="37">
        <f t="shared" si="44"/>
        <v>34294.32</v>
      </c>
      <c r="O424" s="37">
        <f t="shared" si="43"/>
        <v>224818.32</v>
      </c>
      <c r="P424" s="34"/>
    </row>
    <row r="425" spans="1:16">
      <c r="A425" s="32">
        <v>424</v>
      </c>
      <c r="B425" s="52" t="s">
        <v>784</v>
      </c>
      <c r="C425" s="34" t="s">
        <v>630</v>
      </c>
      <c r="D425" s="34" t="s">
        <v>795</v>
      </c>
      <c r="E425" s="34" t="s">
        <v>1364</v>
      </c>
      <c r="F425" s="35">
        <v>45965</v>
      </c>
      <c r="G425" s="35">
        <f t="shared" si="46"/>
        <v>45965</v>
      </c>
      <c r="H425" s="34"/>
      <c r="I425" s="36" t="s">
        <v>1365</v>
      </c>
      <c r="J425" s="36" t="s">
        <v>792</v>
      </c>
      <c r="K425" s="34"/>
      <c r="L425" s="34"/>
      <c r="M425" s="37">
        <v>17600</v>
      </c>
      <c r="N425" s="37">
        <f t="shared" si="44"/>
        <v>3168</v>
      </c>
      <c r="O425" s="37">
        <f t="shared" si="43"/>
        <v>20768</v>
      </c>
      <c r="P425" s="34"/>
    </row>
    <row r="426" spans="1:16">
      <c r="A426" s="32">
        <v>425</v>
      </c>
      <c r="B426" s="52" t="s">
        <v>784</v>
      </c>
      <c r="C426" s="34" t="s">
        <v>630</v>
      </c>
      <c r="D426" s="34" t="s">
        <v>795</v>
      </c>
      <c r="E426" s="34" t="s">
        <v>1366</v>
      </c>
      <c r="F426" s="35">
        <v>45965</v>
      </c>
      <c r="G426" s="35">
        <f t="shared" si="46"/>
        <v>45965</v>
      </c>
      <c r="H426" s="34"/>
      <c r="I426" s="36" t="s">
        <v>1367</v>
      </c>
      <c r="J426" s="36" t="s">
        <v>792</v>
      </c>
      <c r="K426" s="34"/>
      <c r="L426" s="34"/>
      <c r="M426" s="37">
        <v>17600</v>
      </c>
      <c r="N426" s="37">
        <f t="shared" si="44"/>
        <v>3168</v>
      </c>
      <c r="O426" s="37">
        <f t="shared" si="43"/>
        <v>20768</v>
      </c>
      <c r="P426" s="34"/>
    </row>
    <row r="427" spans="1:16">
      <c r="A427" s="32">
        <v>426</v>
      </c>
      <c r="B427" s="52" t="s">
        <v>784</v>
      </c>
      <c r="C427" s="34" t="s">
        <v>630</v>
      </c>
      <c r="D427" s="34" t="s">
        <v>795</v>
      </c>
      <c r="E427" s="34" t="s">
        <v>1368</v>
      </c>
      <c r="F427" s="35">
        <v>45965</v>
      </c>
      <c r="G427" s="35">
        <f t="shared" si="46"/>
        <v>45965</v>
      </c>
      <c r="H427" s="34"/>
      <c r="I427" s="36" t="s">
        <v>1369</v>
      </c>
      <c r="J427" s="36"/>
      <c r="K427" s="34"/>
      <c r="L427" s="34"/>
      <c r="M427" s="37">
        <v>17600</v>
      </c>
      <c r="N427" s="37">
        <f t="shared" si="44"/>
        <v>3168</v>
      </c>
      <c r="O427" s="37">
        <f t="shared" si="43"/>
        <v>20768</v>
      </c>
      <c r="P427" s="34"/>
    </row>
    <row r="428" spans="1:16">
      <c r="A428" s="32">
        <v>427</v>
      </c>
      <c r="B428" s="52" t="s">
        <v>784</v>
      </c>
      <c r="C428" s="34" t="s">
        <v>630</v>
      </c>
      <c r="D428" s="34" t="s">
        <v>795</v>
      </c>
      <c r="E428" s="34" t="s">
        <v>1370</v>
      </c>
      <c r="F428" s="35">
        <v>45965</v>
      </c>
      <c r="G428" s="35">
        <f t="shared" si="46"/>
        <v>45965</v>
      </c>
      <c r="H428" s="34"/>
      <c r="I428" s="36" t="s">
        <v>1371</v>
      </c>
      <c r="J428" s="36" t="s">
        <v>792</v>
      </c>
      <c r="K428" s="34"/>
      <c r="L428" s="34"/>
      <c r="M428" s="37">
        <v>17600</v>
      </c>
      <c r="N428" s="37">
        <f t="shared" si="44"/>
        <v>3168</v>
      </c>
      <c r="O428" s="37">
        <f t="shared" si="43"/>
        <v>20768</v>
      </c>
      <c r="P428" s="34"/>
    </row>
    <row r="429" spans="1:16">
      <c r="A429" s="32">
        <v>428</v>
      </c>
      <c r="B429" s="52" t="s">
        <v>784</v>
      </c>
      <c r="C429" s="32" t="s">
        <v>630</v>
      </c>
      <c r="D429" s="32" t="s">
        <v>795</v>
      </c>
      <c r="E429" s="32" t="s">
        <v>1372</v>
      </c>
      <c r="F429" s="53">
        <v>45966</v>
      </c>
      <c r="G429" s="35">
        <f t="shared" si="46"/>
        <v>45966</v>
      </c>
      <c r="H429" s="32"/>
      <c r="I429" s="36" t="s">
        <v>1373</v>
      </c>
      <c r="J429" s="47"/>
      <c r="K429" s="32"/>
      <c r="L429" s="32"/>
      <c r="M429" s="54">
        <v>-17600</v>
      </c>
      <c r="N429" s="54">
        <f t="shared" si="44"/>
        <v>-3168</v>
      </c>
      <c r="O429" s="37">
        <f t="shared" si="43"/>
        <v>-20768</v>
      </c>
      <c r="P429" s="32"/>
    </row>
    <row r="430" spans="1:16">
      <c r="A430" s="32">
        <v>429</v>
      </c>
      <c r="B430" s="52" t="s">
        <v>784</v>
      </c>
      <c r="C430" s="32" t="s">
        <v>317</v>
      </c>
      <c r="D430" s="32" t="s">
        <v>795</v>
      </c>
      <c r="E430" s="32" t="s">
        <v>1374</v>
      </c>
      <c r="F430" s="53">
        <v>45966</v>
      </c>
      <c r="G430" s="35">
        <f t="shared" si="46"/>
        <v>45966</v>
      </c>
      <c r="H430" s="32"/>
      <c r="I430" s="36" t="s">
        <v>1375</v>
      </c>
      <c r="J430" s="44"/>
      <c r="K430" s="32"/>
      <c r="L430" s="32"/>
      <c r="M430" s="54">
        <v>190524</v>
      </c>
      <c r="N430" s="54">
        <f t="shared" si="44"/>
        <v>34294.32</v>
      </c>
      <c r="O430" s="37">
        <f t="shared" si="43"/>
        <v>224818.32</v>
      </c>
      <c r="P430" s="32"/>
    </row>
    <row r="431" spans="1:16">
      <c r="A431" s="32">
        <v>430</v>
      </c>
      <c r="B431" s="52" t="s">
        <v>784</v>
      </c>
      <c r="C431" s="32" t="s">
        <v>630</v>
      </c>
      <c r="D431" s="32" t="s">
        <v>795</v>
      </c>
      <c r="E431" s="32" t="s">
        <v>1374</v>
      </c>
      <c r="F431" s="53">
        <v>45966</v>
      </c>
      <c r="G431" s="35">
        <f t="shared" si="46"/>
        <v>45966</v>
      </c>
      <c r="H431" s="32"/>
      <c r="I431" s="36" t="s">
        <v>1376</v>
      </c>
      <c r="J431" s="44"/>
      <c r="K431" s="32"/>
      <c r="L431" s="32"/>
      <c r="M431" s="54">
        <v>-35200</v>
      </c>
      <c r="N431" s="54">
        <f t="shared" si="44"/>
        <v>-6336</v>
      </c>
      <c r="O431" s="37">
        <f t="shared" si="43"/>
        <v>-41536</v>
      </c>
      <c r="P431" s="32"/>
    </row>
    <row r="432" spans="1:16">
      <c r="A432" s="32">
        <v>431</v>
      </c>
      <c r="B432" s="52" t="s">
        <v>784</v>
      </c>
      <c r="C432" s="34" t="s">
        <v>317</v>
      </c>
      <c r="D432" s="34" t="s">
        <v>795</v>
      </c>
      <c r="E432" s="34" t="s">
        <v>1377</v>
      </c>
      <c r="F432" s="35">
        <v>45966</v>
      </c>
      <c r="G432" s="35">
        <f t="shared" si="46"/>
        <v>45966</v>
      </c>
      <c r="H432" s="34"/>
      <c r="I432" s="36" t="s">
        <v>1378</v>
      </c>
      <c r="J432" s="36"/>
      <c r="K432" s="34"/>
      <c r="L432" s="34"/>
      <c r="M432" s="37">
        <v>190524</v>
      </c>
      <c r="N432" s="37">
        <f t="shared" si="44"/>
        <v>34294.32</v>
      </c>
      <c r="O432" s="37">
        <f t="shared" si="43"/>
        <v>224818.32</v>
      </c>
      <c r="P432" s="34"/>
    </row>
    <row r="433" spans="1:16">
      <c r="A433" s="32">
        <v>432</v>
      </c>
      <c r="B433" s="52" t="s">
        <v>784</v>
      </c>
      <c r="C433" s="34" t="s">
        <v>630</v>
      </c>
      <c r="D433" s="34" t="s">
        <v>795</v>
      </c>
      <c r="E433" s="34" t="s">
        <v>1377</v>
      </c>
      <c r="F433" s="35">
        <v>45966</v>
      </c>
      <c r="G433" s="35">
        <f t="shared" si="46"/>
        <v>45966</v>
      </c>
      <c r="H433" s="34"/>
      <c r="I433" s="36" t="s">
        <v>1379</v>
      </c>
      <c r="J433" s="36"/>
      <c r="K433" s="34"/>
      <c r="L433" s="34"/>
      <c r="M433" s="37">
        <v>17600</v>
      </c>
      <c r="N433" s="37">
        <f t="shared" si="44"/>
        <v>3168</v>
      </c>
      <c r="O433" s="37">
        <f t="shared" si="43"/>
        <v>20768</v>
      </c>
      <c r="P433" s="34"/>
    </row>
    <row r="434" spans="1:16">
      <c r="A434" s="32">
        <v>433</v>
      </c>
      <c r="B434" s="52" t="s">
        <v>784</v>
      </c>
      <c r="C434" s="34" t="s">
        <v>317</v>
      </c>
      <c r="D434" s="34" t="s">
        <v>795</v>
      </c>
      <c r="E434" s="34" t="s">
        <v>1380</v>
      </c>
      <c r="F434" s="35">
        <v>45967</v>
      </c>
      <c r="G434" s="35">
        <f t="shared" si="46"/>
        <v>45967</v>
      </c>
      <c r="H434" s="34"/>
      <c r="I434" s="36" t="s">
        <v>1381</v>
      </c>
      <c r="J434" s="36"/>
      <c r="K434" s="34"/>
      <c r="L434" s="34"/>
      <c r="M434" s="37">
        <v>190524</v>
      </c>
      <c r="N434" s="37">
        <f t="shared" si="44"/>
        <v>34294.32</v>
      </c>
      <c r="O434" s="37">
        <f t="shared" si="43"/>
        <v>224818.32</v>
      </c>
      <c r="P434" s="34"/>
    </row>
    <row r="435" spans="1:16">
      <c r="A435" s="32">
        <v>434</v>
      </c>
      <c r="B435" s="52" t="s">
        <v>784</v>
      </c>
      <c r="C435" s="34" t="s">
        <v>630</v>
      </c>
      <c r="D435" s="34" t="s">
        <v>795</v>
      </c>
      <c r="E435" s="34" t="s">
        <v>1380</v>
      </c>
      <c r="F435" s="35">
        <v>45967</v>
      </c>
      <c r="G435" s="35">
        <f t="shared" si="46"/>
        <v>45967</v>
      </c>
      <c r="H435" s="34"/>
      <c r="I435" s="36" t="s">
        <v>1382</v>
      </c>
      <c r="J435" s="36"/>
      <c r="K435" s="34"/>
      <c r="L435" s="34"/>
      <c r="M435" s="37">
        <v>17600</v>
      </c>
      <c r="N435" s="37">
        <f t="shared" si="44"/>
        <v>3168</v>
      </c>
      <c r="O435" s="37">
        <f t="shared" si="43"/>
        <v>20768</v>
      </c>
      <c r="P435" s="34"/>
    </row>
    <row r="436" spans="1:16">
      <c r="A436" s="32">
        <v>435</v>
      </c>
      <c r="B436" s="52" t="s">
        <v>784</v>
      </c>
      <c r="C436" s="34" t="s">
        <v>317</v>
      </c>
      <c r="D436" s="34" t="s">
        <v>795</v>
      </c>
      <c r="E436" s="34" t="s">
        <v>1383</v>
      </c>
      <c r="F436" s="35">
        <v>45967</v>
      </c>
      <c r="G436" s="35">
        <f t="shared" si="46"/>
        <v>45967</v>
      </c>
      <c r="H436" s="34"/>
      <c r="I436" s="36" t="s">
        <v>1384</v>
      </c>
      <c r="J436" s="36"/>
      <c r="K436" s="34"/>
      <c r="L436" s="34"/>
      <c r="M436" s="37">
        <v>83500</v>
      </c>
      <c r="N436" s="37">
        <f t="shared" si="44"/>
        <v>15030</v>
      </c>
      <c r="O436" s="37">
        <f t="shared" si="43"/>
        <v>98530</v>
      </c>
      <c r="P436" s="34"/>
    </row>
    <row r="437" spans="1:16">
      <c r="A437" s="32">
        <v>436</v>
      </c>
      <c r="B437" s="52" t="s">
        <v>784</v>
      </c>
      <c r="C437" s="34" t="s">
        <v>630</v>
      </c>
      <c r="D437" s="34" t="s">
        <v>795</v>
      </c>
      <c r="E437" s="34" t="s">
        <v>1383</v>
      </c>
      <c r="F437" s="35">
        <v>45967</v>
      </c>
      <c r="G437" s="35">
        <f t="shared" si="46"/>
        <v>45967</v>
      </c>
      <c r="H437" s="34"/>
      <c r="I437" s="36" t="s">
        <v>1385</v>
      </c>
      <c r="J437" s="36"/>
      <c r="K437" s="34"/>
      <c r="L437" s="34"/>
      <c r="M437" s="37">
        <v>17600</v>
      </c>
      <c r="N437" s="37">
        <f t="shared" si="44"/>
        <v>3168</v>
      </c>
      <c r="O437" s="37">
        <f t="shared" si="43"/>
        <v>20768</v>
      </c>
      <c r="P437" s="34"/>
    </row>
    <row r="438" spans="1:16">
      <c r="A438" s="32">
        <v>437</v>
      </c>
      <c r="B438" s="52" t="s">
        <v>784</v>
      </c>
      <c r="C438" s="34" t="s">
        <v>630</v>
      </c>
      <c r="D438" s="34" t="s">
        <v>795</v>
      </c>
      <c r="E438" s="34" t="s">
        <v>1386</v>
      </c>
      <c r="F438" s="35">
        <v>45971</v>
      </c>
      <c r="G438" s="35">
        <v>45966</v>
      </c>
      <c r="H438" s="34"/>
      <c r="I438" s="36" t="s">
        <v>1387</v>
      </c>
      <c r="J438" s="36"/>
      <c r="K438" s="34"/>
      <c r="L438" s="34"/>
      <c r="M438" s="37">
        <v>35200</v>
      </c>
      <c r="N438" s="37">
        <f t="shared" si="44"/>
        <v>6336</v>
      </c>
      <c r="O438" s="37">
        <f t="shared" si="43"/>
        <v>41536</v>
      </c>
      <c r="P438" s="34"/>
    </row>
    <row r="439" spans="1:16">
      <c r="A439" s="32">
        <v>438</v>
      </c>
      <c r="B439" s="52" t="s">
        <v>784</v>
      </c>
      <c r="C439" s="34" t="s">
        <v>630</v>
      </c>
      <c r="D439" s="34" t="s">
        <v>795</v>
      </c>
      <c r="E439" s="34" t="s">
        <v>1386</v>
      </c>
      <c r="F439" s="35">
        <v>45971</v>
      </c>
      <c r="G439" s="35">
        <v>45966</v>
      </c>
      <c r="H439" s="34"/>
      <c r="I439" s="36" t="s">
        <v>1388</v>
      </c>
      <c r="J439" s="36"/>
      <c r="K439" s="34"/>
      <c r="L439" s="34"/>
      <c r="M439" s="37"/>
      <c r="N439" s="37"/>
      <c r="O439" s="37">
        <f t="shared" si="43"/>
        <v>0</v>
      </c>
      <c r="P439" s="34"/>
    </row>
    <row r="440" spans="1:16">
      <c r="A440" s="32">
        <v>439</v>
      </c>
      <c r="B440" s="52" t="s">
        <v>784</v>
      </c>
      <c r="C440" s="34" t="s">
        <v>317</v>
      </c>
      <c r="D440" s="34" t="s">
        <v>795</v>
      </c>
      <c r="E440" s="34" t="s">
        <v>1389</v>
      </c>
      <c r="F440" s="35">
        <v>45971</v>
      </c>
      <c r="G440" s="35">
        <f>F440</f>
        <v>45971</v>
      </c>
      <c r="H440" s="34"/>
      <c r="I440" s="36" t="s">
        <v>1390</v>
      </c>
      <c r="J440" s="36" t="s">
        <v>792</v>
      </c>
      <c r="K440" s="34"/>
      <c r="L440" s="34"/>
      <c r="M440" s="37">
        <v>98771</v>
      </c>
      <c r="N440" s="37">
        <f t="shared" si="44"/>
        <v>17778.78</v>
      </c>
      <c r="O440" s="37">
        <f t="shared" si="43"/>
        <v>116549.78</v>
      </c>
      <c r="P440" s="34"/>
    </row>
    <row r="441" spans="1:16">
      <c r="A441" s="32">
        <v>440</v>
      </c>
      <c r="B441" s="52" t="s">
        <v>784</v>
      </c>
      <c r="C441" s="34" t="s">
        <v>317</v>
      </c>
      <c r="D441" s="34" t="s">
        <v>795</v>
      </c>
      <c r="E441" s="34" t="s">
        <v>1391</v>
      </c>
      <c r="F441" s="35">
        <v>45971</v>
      </c>
      <c r="G441" s="35">
        <v>45966</v>
      </c>
      <c r="H441" s="34"/>
      <c r="I441" s="36" t="s">
        <v>1392</v>
      </c>
      <c r="J441" s="36" t="s">
        <v>792</v>
      </c>
      <c r="K441" s="34"/>
      <c r="L441" s="34"/>
      <c r="M441" s="37">
        <v>98771</v>
      </c>
      <c r="N441" s="37">
        <f t="shared" si="44"/>
        <v>17778.78</v>
      </c>
      <c r="O441" s="37">
        <f t="shared" si="43"/>
        <v>116549.78</v>
      </c>
      <c r="P441" s="34"/>
    </row>
    <row r="442" spans="1:16">
      <c r="A442" s="32">
        <f>A441+1</f>
        <v>441</v>
      </c>
      <c r="B442" s="52" t="s">
        <v>784</v>
      </c>
      <c r="C442" s="34" t="s">
        <v>317</v>
      </c>
      <c r="D442" s="34" t="s">
        <v>795</v>
      </c>
      <c r="E442" s="34" t="s">
        <v>1393</v>
      </c>
      <c r="F442" s="35">
        <v>45971</v>
      </c>
      <c r="G442" s="35">
        <v>45971</v>
      </c>
      <c r="H442" s="34"/>
      <c r="I442" s="36" t="s">
        <v>1394</v>
      </c>
      <c r="J442" s="36" t="s">
        <v>792</v>
      </c>
      <c r="K442" s="34"/>
      <c r="L442" s="34"/>
      <c r="M442" s="37">
        <v>83500</v>
      </c>
      <c r="N442" s="37">
        <v>15030</v>
      </c>
      <c r="O442" s="37">
        <f t="shared" si="43"/>
        <v>98530</v>
      </c>
      <c r="P442" s="34"/>
    </row>
    <row r="443" spans="1:16">
      <c r="A443" s="32">
        <f t="shared" ref="A443:A492" si="47">A442+1</f>
        <v>442</v>
      </c>
      <c r="B443" s="52" t="s">
        <v>784</v>
      </c>
      <c r="C443" s="34" t="s">
        <v>630</v>
      </c>
      <c r="D443" s="34" t="s">
        <v>795</v>
      </c>
      <c r="E443" s="34" t="s">
        <v>1393</v>
      </c>
      <c r="F443" s="35">
        <v>45971</v>
      </c>
      <c r="G443" s="35">
        <v>45971</v>
      </c>
      <c r="H443" s="34"/>
      <c r="I443" s="36" t="s">
        <v>1395</v>
      </c>
      <c r="J443" s="36" t="s">
        <v>792</v>
      </c>
      <c r="K443" s="34"/>
      <c r="L443" s="34"/>
      <c r="M443" s="37">
        <v>17600</v>
      </c>
      <c r="N443" s="37">
        <v>3168</v>
      </c>
      <c r="O443" s="37">
        <f t="shared" si="43"/>
        <v>20768</v>
      </c>
      <c r="P443" s="34"/>
    </row>
    <row r="444" spans="1:16">
      <c r="A444" s="32">
        <f t="shared" si="47"/>
        <v>443</v>
      </c>
      <c r="B444" s="52" t="s">
        <v>784</v>
      </c>
      <c r="C444" s="34" t="s">
        <v>630</v>
      </c>
      <c r="D444" s="34" t="s">
        <v>795</v>
      </c>
      <c r="E444" s="34" t="s">
        <v>1396</v>
      </c>
      <c r="F444" s="35">
        <v>45971</v>
      </c>
      <c r="G444" s="35">
        <v>45971</v>
      </c>
      <c r="H444" s="34"/>
      <c r="I444" s="36" t="s">
        <v>1397</v>
      </c>
      <c r="J444" s="36"/>
      <c r="K444" s="34"/>
      <c r="L444" s="34"/>
      <c r="M444" s="37">
        <v>19000</v>
      </c>
      <c r="N444" s="37">
        <v>3420</v>
      </c>
      <c r="O444" s="37">
        <f t="shared" si="43"/>
        <v>22420</v>
      </c>
      <c r="P444" s="34"/>
    </row>
    <row r="445" spans="1:16">
      <c r="A445" s="32">
        <f t="shared" si="47"/>
        <v>444</v>
      </c>
      <c r="B445" s="52" t="s">
        <v>784</v>
      </c>
      <c r="C445" s="34" t="s">
        <v>317</v>
      </c>
      <c r="D445" s="34" t="s">
        <v>795</v>
      </c>
      <c r="E445" s="34" t="s">
        <v>1398</v>
      </c>
      <c r="F445" s="35">
        <v>45987</v>
      </c>
      <c r="G445" s="35">
        <v>45986</v>
      </c>
      <c r="H445" s="34"/>
      <c r="I445" s="36" t="s">
        <v>1399</v>
      </c>
      <c r="J445" s="36" t="s">
        <v>792</v>
      </c>
      <c r="K445" s="34"/>
      <c r="L445" s="34"/>
      <c r="M445" s="37">
        <v>83500</v>
      </c>
      <c r="N445" s="37">
        <v>15030</v>
      </c>
      <c r="O445" s="37">
        <f t="shared" si="43"/>
        <v>98530</v>
      </c>
      <c r="P445" s="34"/>
    </row>
    <row r="446" spans="1:16">
      <c r="A446" s="32">
        <f t="shared" si="47"/>
        <v>445</v>
      </c>
      <c r="B446" s="52" t="s">
        <v>784</v>
      </c>
      <c r="C446" s="34" t="s">
        <v>630</v>
      </c>
      <c r="D446" s="34" t="s">
        <v>795</v>
      </c>
      <c r="E446" s="34" t="s">
        <v>1398</v>
      </c>
      <c r="F446" s="35">
        <v>45987</v>
      </c>
      <c r="G446" s="35">
        <v>45986</v>
      </c>
      <c r="H446" s="34"/>
      <c r="I446" s="36" t="s">
        <v>1400</v>
      </c>
      <c r="J446" s="36"/>
      <c r="K446" s="34"/>
      <c r="L446" s="34"/>
      <c r="M446" s="37">
        <v>17600</v>
      </c>
      <c r="N446" s="37">
        <v>3168</v>
      </c>
      <c r="O446" s="37">
        <f t="shared" si="43"/>
        <v>20768</v>
      </c>
      <c r="P446" s="34"/>
    </row>
    <row r="447" spans="1:16">
      <c r="A447" s="32">
        <f t="shared" si="47"/>
        <v>446</v>
      </c>
      <c r="B447" s="52" t="s">
        <v>784</v>
      </c>
      <c r="C447" s="34" t="s">
        <v>317</v>
      </c>
      <c r="D447" s="34" t="s">
        <v>795</v>
      </c>
      <c r="E447" s="34" t="s">
        <v>1401</v>
      </c>
      <c r="F447" s="35">
        <v>45994</v>
      </c>
      <c r="G447" s="35">
        <v>45993</v>
      </c>
      <c r="H447" s="34"/>
      <c r="I447" s="36" t="s">
        <v>403</v>
      </c>
      <c r="J447" s="36" t="s">
        <v>792</v>
      </c>
      <c r="K447" s="34"/>
      <c r="L447" s="34"/>
      <c r="M447" s="37">
        <v>190524</v>
      </c>
      <c r="N447" s="37">
        <v>34294.32</v>
      </c>
      <c r="O447" s="37">
        <f t="shared" si="43"/>
        <v>224818.32</v>
      </c>
      <c r="P447" s="34"/>
    </row>
    <row r="448" spans="1:16">
      <c r="A448" s="32">
        <f t="shared" si="47"/>
        <v>447</v>
      </c>
      <c r="B448" s="52" t="s">
        <v>784</v>
      </c>
      <c r="C448" s="34" t="s">
        <v>630</v>
      </c>
      <c r="D448" s="34" t="s">
        <v>795</v>
      </c>
      <c r="E448" s="34" t="s">
        <v>1401</v>
      </c>
      <c r="F448" s="35">
        <v>45994</v>
      </c>
      <c r="G448" s="35">
        <v>45993</v>
      </c>
      <c r="H448" s="34"/>
      <c r="I448" s="36" t="s">
        <v>1402</v>
      </c>
      <c r="J448" s="36" t="s">
        <v>792</v>
      </c>
      <c r="K448" s="34"/>
      <c r="L448" s="34"/>
      <c r="M448" s="37">
        <v>17600</v>
      </c>
      <c r="N448" s="37">
        <v>3168</v>
      </c>
      <c r="O448" s="37">
        <f t="shared" si="43"/>
        <v>20768</v>
      </c>
      <c r="P448" s="34"/>
    </row>
    <row r="449" spans="1:16">
      <c r="A449" s="32">
        <f t="shared" si="47"/>
        <v>448</v>
      </c>
      <c r="B449" s="52" t="s">
        <v>784</v>
      </c>
      <c r="C449" s="34" t="s">
        <v>317</v>
      </c>
      <c r="D449" s="34" t="s">
        <v>795</v>
      </c>
      <c r="E449" s="34" t="s">
        <v>1403</v>
      </c>
      <c r="F449" s="35">
        <v>45999</v>
      </c>
      <c r="G449" s="35">
        <v>45994</v>
      </c>
      <c r="H449" s="34"/>
      <c r="I449" s="36" t="s">
        <v>1404</v>
      </c>
      <c r="J449" s="36" t="s">
        <v>792</v>
      </c>
      <c r="K449" s="34"/>
      <c r="L449" s="34"/>
      <c r="M449" s="37">
        <v>190524</v>
      </c>
      <c r="N449" s="37">
        <v>34294.32</v>
      </c>
      <c r="O449" s="37">
        <f t="shared" si="43"/>
        <v>224818.32</v>
      </c>
      <c r="P449" s="34"/>
    </row>
    <row r="450" spans="1:16">
      <c r="A450" s="32">
        <f t="shared" si="47"/>
        <v>449</v>
      </c>
      <c r="B450" s="52" t="s">
        <v>784</v>
      </c>
      <c r="C450" s="34" t="s">
        <v>630</v>
      </c>
      <c r="D450" s="34" t="s">
        <v>795</v>
      </c>
      <c r="E450" s="34" t="s">
        <v>1403</v>
      </c>
      <c r="F450" s="35">
        <v>45999</v>
      </c>
      <c r="G450" s="35">
        <v>45994</v>
      </c>
      <c r="H450" s="34"/>
      <c r="I450" s="36" t="s">
        <v>1405</v>
      </c>
      <c r="J450" s="36" t="s">
        <v>792</v>
      </c>
      <c r="K450" s="34"/>
      <c r="L450" s="34"/>
      <c r="M450" s="37">
        <v>17600</v>
      </c>
      <c r="N450" s="37">
        <v>3168</v>
      </c>
      <c r="O450" s="37">
        <f t="shared" si="43"/>
        <v>20768</v>
      </c>
      <c r="P450" s="34"/>
    </row>
    <row r="451" spans="1:16">
      <c r="A451" s="32">
        <f t="shared" si="47"/>
        <v>450</v>
      </c>
      <c r="B451" s="52" t="s">
        <v>784</v>
      </c>
      <c r="C451" s="34" t="s">
        <v>317</v>
      </c>
      <c r="D451" s="34" t="s">
        <v>795</v>
      </c>
      <c r="E451" s="34" t="s">
        <v>1406</v>
      </c>
      <c r="F451" s="35">
        <v>45999</v>
      </c>
      <c r="G451" s="35">
        <v>45994</v>
      </c>
      <c r="H451" s="34"/>
      <c r="I451" s="36" t="s">
        <v>1407</v>
      </c>
      <c r="J451" s="36" t="s">
        <v>792</v>
      </c>
      <c r="K451" s="34"/>
      <c r="L451" s="34"/>
      <c r="M451" s="37">
        <v>190524</v>
      </c>
      <c r="N451" s="37">
        <v>34294.32</v>
      </c>
      <c r="O451" s="37">
        <f t="shared" ref="O451:O492" si="48">SUM(M451:N451)</f>
        <v>224818.32</v>
      </c>
      <c r="P451" s="34"/>
    </row>
    <row r="452" spans="1:16">
      <c r="A452" s="32">
        <f t="shared" si="47"/>
        <v>451</v>
      </c>
      <c r="B452" s="52" t="s">
        <v>784</v>
      </c>
      <c r="C452" s="34" t="s">
        <v>630</v>
      </c>
      <c r="D452" s="34" t="s">
        <v>795</v>
      </c>
      <c r="E452" s="34" t="s">
        <v>1406</v>
      </c>
      <c r="F452" s="35">
        <v>45999</v>
      </c>
      <c r="G452" s="35">
        <v>45994</v>
      </c>
      <c r="H452" s="34"/>
      <c r="I452" s="36" t="s">
        <v>1408</v>
      </c>
      <c r="J452" s="36" t="s">
        <v>792</v>
      </c>
      <c r="K452" s="34"/>
      <c r="L452" s="34"/>
      <c r="M452" s="37">
        <v>17600</v>
      </c>
      <c r="N452" s="37">
        <v>3168</v>
      </c>
      <c r="O452" s="37">
        <f t="shared" si="48"/>
        <v>20768</v>
      </c>
      <c r="P452" s="34"/>
    </row>
    <row r="453" spans="1:16">
      <c r="A453" s="32">
        <f t="shared" si="47"/>
        <v>452</v>
      </c>
      <c r="B453" s="52" t="s">
        <v>784</v>
      </c>
      <c r="C453" s="34" t="s">
        <v>317</v>
      </c>
      <c r="D453" s="34" t="s">
        <v>795</v>
      </c>
      <c r="E453" s="34" t="s">
        <v>1409</v>
      </c>
      <c r="F453" s="35">
        <v>45999</v>
      </c>
      <c r="G453" s="35">
        <v>45994</v>
      </c>
      <c r="H453" s="34"/>
      <c r="I453" s="36" t="s">
        <v>1410</v>
      </c>
      <c r="J453" s="36" t="s">
        <v>792</v>
      </c>
      <c r="K453" s="34"/>
      <c r="L453" s="34"/>
      <c r="M453" s="37">
        <v>190524</v>
      </c>
      <c r="N453" s="37">
        <v>34294.32</v>
      </c>
      <c r="O453" s="37">
        <f t="shared" si="48"/>
        <v>224818.32</v>
      </c>
      <c r="P453" s="34"/>
    </row>
    <row r="454" spans="1:16">
      <c r="A454" s="32">
        <f t="shared" si="47"/>
        <v>453</v>
      </c>
      <c r="B454" s="52" t="s">
        <v>784</v>
      </c>
      <c r="C454" s="34" t="s">
        <v>630</v>
      </c>
      <c r="D454" s="34" t="s">
        <v>795</v>
      </c>
      <c r="E454" s="34" t="s">
        <v>1409</v>
      </c>
      <c r="F454" s="35">
        <v>45999</v>
      </c>
      <c r="G454" s="35">
        <v>45994</v>
      </c>
      <c r="H454" s="34"/>
      <c r="I454" s="36" t="s">
        <v>1411</v>
      </c>
      <c r="J454" s="36" t="s">
        <v>792</v>
      </c>
      <c r="K454" s="34"/>
      <c r="L454" s="34"/>
      <c r="M454" s="37">
        <v>17600</v>
      </c>
      <c r="N454" s="37">
        <v>3168</v>
      </c>
      <c r="O454" s="37">
        <f t="shared" si="48"/>
        <v>20768</v>
      </c>
      <c r="P454" s="34"/>
    </row>
    <row r="455" spans="1:16">
      <c r="A455" s="32">
        <f t="shared" si="47"/>
        <v>454</v>
      </c>
      <c r="B455" s="52" t="s">
        <v>784</v>
      </c>
      <c r="C455" s="34" t="s">
        <v>630</v>
      </c>
      <c r="D455" s="34" t="s">
        <v>795</v>
      </c>
      <c r="E455" s="34" t="s">
        <v>1412</v>
      </c>
      <c r="F455" s="35">
        <v>46001</v>
      </c>
      <c r="G455" s="35">
        <v>45996</v>
      </c>
      <c r="H455" s="34"/>
      <c r="I455" s="36" t="s">
        <v>1413</v>
      </c>
      <c r="J455" s="36" t="s">
        <v>792</v>
      </c>
      <c r="K455" s="34"/>
      <c r="L455" s="34"/>
      <c r="M455" s="37">
        <v>20660</v>
      </c>
      <c r="N455" s="37">
        <v>3718.8</v>
      </c>
      <c r="O455" s="37">
        <f t="shared" si="48"/>
        <v>24378.799999999999</v>
      </c>
      <c r="P455" s="34"/>
    </row>
    <row r="456" spans="1:16">
      <c r="A456" s="32">
        <f t="shared" si="47"/>
        <v>455</v>
      </c>
      <c r="B456" s="52" t="s">
        <v>784</v>
      </c>
      <c r="C456" s="34" t="s">
        <v>317</v>
      </c>
      <c r="D456" s="34" t="s">
        <v>795</v>
      </c>
      <c r="E456" s="34" t="s">
        <v>1414</v>
      </c>
      <c r="F456" s="35">
        <v>46007</v>
      </c>
      <c r="G456" s="35">
        <v>46006</v>
      </c>
      <c r="H456" s="34"/>
      <c r="I456" s="36" t="s">
        <v>1415</v>
      </c>
      <c r="J456" s="36" t="s">
        <v>792</v>
      </c>
      <c r="K456" s="34"/>
      <c r="L456" s="34"/>
      <c r="M456" s="37">
        <v>190524</v>
      </c>
      <c r="N456" s="37">
        <v>34294.32</v>
      </c>
      <c r="O456" s="37">
        <f t="shared" si="48"/>
        <v>224818.32</v>
      </c>
      <c r="P456" s="34"/>
    </row>
    <row r="457" spans="1:16">
      <c r="A457" s="32">
        <f t="shared" si="47"/>
        <v>456</v>
      </c>
      <c r="B457" s="52" t="s">
        <v>784</v>
      </c>
      <c r="C457" s="34" t="s">
        <v>630</v>
      </c>
      <c r="D457" s="34" t="s">
        <v>795</v>
      </c>
      <c r="E457" s="34" t="s">
        <v>1414</v>
      </c>
      <c r="F457" s="35">
        <v>46007</v>
      </c>
      <c r="G457" s="35">
        <v>46006</v>
      </c>
      <c r="H457" s="34"/>
      <c r="I457" s="36" t="s">
        <v>1416</v>
      </c>
      <c r="J457" s="36" t="s">
        <v>792</v>
      </c>
      <c r="K457" s="34"/>
      <c r="L457" s="34"/>
      <c r="M457" s="37">
        <v>17600</v>
      </c>
      <c r="N457" s="37">
        <v>3168</v>
      </c>
      <c r="O457" s="37">
        <f t="shared" si="48"/>
        <v>20768</v>
      </c>
      <c r="P457" s="34"/>
    </row>
    <row r="458" spans="1:16">
      <c r="A458" s="32">
        <f t="shared" si="47"/>
        <v>457</v>
      </c>
      <c r="B458" s="52" t="s">
        <v>784</v>
      </c>
      <c r="C458" s="34" t="s">
        <v>317</v>
      </c>
      <c r="D458" s="34" t="s">
        <v>795</v>
      </c>
      <c r="E458" s="34" t="s">
        <v>1417</v>
      </c>
      <c r="F458" s="35">
        <v>46014</v>
      </c>
      <c r="G458" s="35">
        <v>46014</v>
      </c>
      <c r="H458" s="34"/>
      <c r="I458" s="36" t="s">
        <v>1418</v>
      </c>
      <c r="J458" s="36" t="s">
        <v>792</v>
      </c>
      <c r="K458" s="34"/>
      <c r="L458" s="34"/>
      <c r="M458" s="37">
        <v>76911</v>
      </c>
      <c r="N458" s="37">
        <v>13843.98</v>
      </c>
      <c r="O458" s="37">
        <f t="shared" si="48"/>
        <v>90754.98</v>
      </c>
      <c r="P458" s="34"/>
    </row>
    <row r="459" spans="1:16">
      <c r="A459" s="32">
        <f t="shared" si="47"/>
        <v>458</v>
      </c>
      <c r="B459" s="52" t="s">
        <v>784</v>
      </c>
      <c r="C459" s="34" t="s">
        <v>630</v>
      </c>
      <c r="D459" s="34" t="s">
        <v>795</v>
      </c>
      <c r="E459" s="34" t="s">
        <v>1417</v>
      </c>
      <c r="F459" s="35">
        <v>46014</v>
      </c>
      <c r="G459" s="35">
        <v>46014</v>
      </c>
      <c r="H459" s="34"/>
      <c r="I459" s="36" t="s">
        <v>1419</v>
      </c>
      <c r="J459" s="36" t="s">
        <v>792</v>
      </c>
      <c r="K459" s="34"/>
      <c r="L459" s="34"/>
      <c r="M459" s="37">
        <v>17600</v>
      </c>
      <c r="N459" s="37">
        <v>3168</v>
      </c>
      <c r="O459" s="37">
        <f t="shared" si="48"/>
        <v>20768</v>
      </c>
      <c r="P459" s="34"/>
    </row>
    <row r="460" spans="1:16">
      <c r="A460" s="32">
        <f t="shared" si="47"/>
        <v>459</v>
      </c>
      <c r="B460" s="52" t="s">
        <v>784</v>
      </c>
      <c r="C460" s="34" t="s">
        <v>317</v>
      </c>
      <c r="D460" s="34" t="s">
        <v>795</v>
      </c>
      <c r="E460" s="34" t="s">
        <v>1420</v>
      </c>
      <c r="F460" s="35">
        <v>46034</v>
      </c>
      <c r="G460" s="35">
        <v>46034</v>
      </c>
      <c r="H460" s="34"/>
      <c r="I460" s="36" t="s">
        <v>1421</v>
      </c>
      <c r="J460" s="36" t="s">
        <v>792</v>
      </c>
      <c r="K460" s="34"/>
      <c r="L460" s="34"/>
      <c r="M460" s="37">
        <v>190524</v>
      </c>
      <c r="N460" s="37">
        <v>34294.32</v>
      </c>
      <c r="O460" s="37">
        <f t="shared" si="48"/>
        <v>224818.32</v>
      </c>
      <c r="P460" s="34"/>
    </row>
    <row r="461" spans="1:16">
      <c r="A461" s="32">
        <f t="shared" si="47"/>
        <v>460</v>
      </c>
      <c r="B461" s="52" t="s">
        <v>784</v>
      </c>
      <c r="C461" s="34" t="s">
        <v>630</v>
      </c>
      <c r="D461" s="34" t="s">
        <v>795</v>
      </c>
      <c r="E461" s="34" t="s">
        <v>1420</v>
      </c>
      <c r="F461" s="35">
        <v>46034</v>
      </c>
      <c r="G461" s="35">
        <v>46034</v>
      </c>
      <c r="H461" s="34"/>
      <c r="I461" s="36" t="s">
        <v>1422</v>
      </c>
      <c r="J461" s="36" t="s">
        <v>792</v>
      </c>
      <c r="K461" s="34"/>
      <c r="L461" s="34"/>
      <c r="M461" s="37">
        <v>17600</v>
      </c>
      <c r="N461" s="37">
        <v>3168</v>
      </c>
      <c r="O461" s="37">
        <f t="shared" si="48"/>
        <v>20768</v>
      </c>
      <c r="P461" s="34"/>
    </row>
    <row r="462" spans="1:16">
      <c r="A462" s="32">
        <f t="shared" si="47"/>
        <v>461</v>
      </c>
      <c r="B462" s="52" t="s">
        <v>784</v>
      </c>
      <c r="C462" s="34" t="s">
        <v>630</v>
      </c>
      <c r="D462" s="34" t="s">
        <v>795</v>
      </c>
      <c r="E462" s="34" t="s">
        <v>1423</v>
      </c>
      <c r="F462" s="35">
        <v>46051</v>
      </c>
      <c r="G462" s="35">
        <v>46050</v>
      </c>
      <c r="H462" s="34"/>
      <c r="I462" s="36" t="s">
        <v>1424</v>
      </c>
      <c r="J462" s="36" t="s">
        <v>792</v>
      </c>
      <c r="K462" s="34"/>
      <c r="L462" s="34"/>
      <c r="M462" s="37">
        <v>17600</v>
      </c>
      <c r="N462" s="37">
        <v>3168</v>
      </c>
      <c r="O462" s="37">
        <f t="shared" si="48"/>
        <v>20768</v>
      </c>
      <c r="P462" s="34"/>
    </row>
    <row r="463" spans="1:16">
      <c r="A463" s="32">
        <f t="shared" si="47"/>
        <v>462</v>
      </c>
      <c r="B463" s="52" t="s">
        <v>784</v>
      </c>
      <c r="C463" s="34" t="s">
        <v>630</v>
      </c>
      <c r="D463" s="34" t="s">
        <v>795</v>
      </c>
      <c r="E463" s="34" t="s">
        <v>1425</v>
      </c>
      <c r="F463" s="35">
        <v>46051</v>
      </c>
      <c r="G463" s="35">
        <v>46050</v>
      </c>
      <c r="H463" s="34"/>
      <c r="I463" s="36" t="s">
        <v>1426</v>
      </c>
      <c r="J463" s="36" t="s">
        <v>792</v>
      </c>
      <c r="K463" s="34"/>
      <c r="L463" s="34"/>
      <c r="M463" s="37">
        <v>17600</v>
      </c>
      <c r="N463" s="37">
        <v>3168</v>
      </c>
      <c r="O463" s="37">
        <f t="shared" si="48"/>
        <v>20768</v>
      </c>
      <c r="P463" s="34"/>
    </row>
    <row r="464" spans="1:16">
      <c r="A464" s="32">
        <f t="shared" si="47"/>
        <v>463</v>
      </c>
      <c r="B464" s="52" t="s">
        <v>784</v>
      </c>
      <c r="C464" s="34" t="s">
        <v>630</v>
      </c>
      <c r="D464" s="34" t="s">
        <v>795</v>
      </c>
      <c r="E464" s="34" t="s">
        <v>1427</v>
      </c>
      <c r="F464" s="35">
        <v>46054</v>
      </c>
      <c r="G464" s="35">
        <v>46050</v>
      </c>
      <c r="H464" s="34"/>
      <c r="I464" s="36" t="s">
        <v>1428</v>
      </c>
      <c r="J464" s="36" t="s">
        <v>792</v>
      </c>
      <c r="K464" s="34"/>
      <c r="L464" s="34"/>
      <c r="M464" s="37">
        <v>17600</v>
      </c>
      <c r="N464" s="37">
        <v>3168</v>
      </c>
      <c r="O464" s="37">
        <f t="shared" si="48"/>
        <v>20768</v>
      </c>
      <c r="P464" s="34"/>
    </row>
    <row r="465" spans="1:16">
      <c r="A465" s="32">
        <f t="shared" si="47"/>
        <v>464</v>
      </c>
      <c r="B465" s="52" t="s">
        <v>784</v>
      </c>
      <c r="C465" s="34" t="s">
        <v>317</v>
      </c>
      <c r="D465" s="34" t="s">
        <v>1429</v>
      </c>
      <c r="E465" s="34" t="s">
        <v>1430</v>
      </c>
      <c r="F465" s="35">
        <v>45968</v>
      </c>
      <c r="G465" s="35">
        <v>45968</v>
      </c>
      <c r="H465" s="34"/>
      <c r="I465" s="36" t="s">
        <v>334</v>
      </c>
      <c r="J465" s="36" t="s">
        <v>792</v>
      </c>
      <c r="K465" s="34"/>
      <c r="L465" s="34"/>
      <c r="M465" s="37">
        <v>98135.59</v>
      </c>
      <c r="N465" s="37">
        <v>17664.400000000001</v>
      </c>
      <c r="O465" s="37">
        <f t="shared" si="48"/>
        <v>115799.98999999999</v>
      </c>
      <c r="P465" s="34"/>
    </row>
    <row r="466" spans="1:16">
      <c r="A466" s="32">
        <f t="shared" si="47"/>
        <v>465</v>
      </c>
      <c r="B466" s="52" t="s">
        <v>784</v>
      </c>
      <c r="C466" s="34" t="s">
        <v>317</v>
      </c>
      <c r="D466" s="34" t="s">
        <v>1429</v>
      </c>
      <c r="E466" s="34" t="s">
        <v>1431</v>
      </c>
      <c r="F466" s="35">
        <v>45968</v>
      </c>
      <c r="G466" s="35">
        <v>45968</v>
      </c>
      <c r="H466" s="34"/>
      <c r="I466" s="36" t="s">
        <v>1432</v>
      </c>
      <c r="J466" s="36" t="s">
        <v>792</v>
      </c>
      <c r="K466" s="34"/>
      <c r="L466" s="34"/>
      <c r="M466" s="37">
        <v>98135.59</v>
      </c>
      <c r="N466" s="37">
        <v>17664.400000000001</v>
      </c>
      <c r="O466" s="37">
        <f t="shared" si="48"/>
        <v>115799.98999999999</v>
      </c>
      <c r="P466" s="34"/>
    </row>
    <row r="467" spans="1:16">
      <c r="A467" s="32">
        <f t="shared" si="47"/>
        <v>466</v>
      </c>
      <c r="B467" s="52" t="s">
        <v>784</v>
      </c>
      <c r="C467" s="34" t="s">
        <v>317</v>
      </c>
      <c r="D467" s="34" t="s">
        <v>1429</v>
      </c>
      <c r="E467" s="34" t="s">
        <v>1433</v>
      </c>
      <c r="F467" s="35">
        <v>45968</v>
      </c>
      <c r="G467" s="35">
        <v>45968</v>
      </c>
      <c r="H467" s="34"/>
      <c r="I467" s="36" t="s">
        <v>1434</v>
      </c>
      <c r="J467" s="36" t="s">
        <v>792</v>
      </c>
      <c r="K467" s="34"/>
      <c r="L467" s="34"/>
      <c r="M467" s="37">
        <v>98135.59</v>
      </c>
      <c r="N467" s="37">
        <v>17664.400000000001</v>
      </c>
      <c r="O467" s="37">
        <f t="shared" si="48"/>
        <v>115799.98999999999</v>
      </c>
      <c r="P467" s="34"/>
    </row>
    <row r="468" spans="1:16">
      <c r="A468" s="32">
        <f t="shared" si="47"/>
        <v>467</v>
      </c>
      <c r="B468" s="52" t="s">
        <v>784</v>
      </c>
      <c r="C468" s="34" t="s">
        <v>317</v>
      </c>
      <c r="D468" s="34" t="s">
        <v>795</v>
      </c>
      <c r="E468" s="34" t="s">
        <v>1435</v>
      </c>
      <c r="F468" s="35">
        <v>45973</v>
      </c>
      <c r="G468" s="35">
        <v>45973</v>
      </c>
      <c r="H468" s="34"/>
      <c r="I468" s="36" t="s">
        <v>1436</v>
      </c>
      <c r="J468" s="36"/>
      <c r="K468" s="34"/>
      <c r="L468" s="34"/>
      <c r="M468" s="37">
        <v>190524</v>
      </c>
      <c r="N468" s="37">
        <v>34294.32</v>
      </c>
      <c r="O468" s="37">
        <f t="shared" si="48"/>
        <v>224818.32</v>
      </c>
      <c r="P468" s="34"/>
    </row>
    <row r="469" spans="1:16">
      <c r="A469" s="32">
        <f t="shared" si="47"/>
        <v>468</v>
      </c>
      <c r="B469" s="52" t="s">
        <v>784</v>
      </c>
      <c r="C469" s="34" t="s">
        <v>317</v>
      </c>
      <c r="D469" s="34" t="s">
        <v>1429</v>
      </c>
      <c r="E469" s="34" t="s">
        <v>1437</v>
      </c>
      <c r="F469" s="35">
        <v>45979</v>
      </c>
      <c r="G469" s="35">
        <v>45938</v>
      </c>
      <c r="H469" s="34"/>
      <c r="I469" s="36" t="s">
        <v>1438</v>
      </c>
      <c r="J469" s="36"/>
      <c r="K469" s="34"/>
      <c r="L469" s="34"/>
      <c r="M469" s="37">
        <v>91949.15</v>
      </c>
      <c r="N469" s="37">
        <v>13881.36</v>
      </c>
      <c r="O469" s="37">
        <f t="shared" si="48"/>
        <v>105830.51</v>
      </c>
      <c r="P469" s="34"/>
    </row>
    <row r="470" spans="1:16">
      <c r="A470" s="32">
        <f t="shared" si="47"/>
        <v>469</v>
      </c>
      <c r="B470" s="52" t="s">
        <v>784</v>
      </c>
      <c r="C470" s="34" t="s">
        <v>317</v>
      </c>
      <c r="D470" s="34" t="s">
        <v>795</v>
      </c>
      <c r="E470" s="34" t="s">
        <v>1439</v>
      </c>
      <c r="F470" s="35">
        <v>45988</v>
      </c>
      <c r="G470" s="35">
        <v>45987</v>
      </c>
      <c r="H470" s="34"/>
      <c r="I470" s="36" t="s">
        <v>1440</v>
      </c>
      <c r="J470" s="36"/>
      <c r="K470" s="34"/>
      <c r="L470" s="34"/>
      <c r="M470" s="37">
        <v>190524</v>
      </c>
      <c r="N470" s="37">
        <v>34294.32</v>
      </c>
      <c r="O470" s="37">
        <f t="shared" si="48"/>
        <v>224818.32</v>
      </c>
      <c r="P470" s="34"/>
    </row>
    <row r="471" spans="1:16">
      <c r="A471" s="32">
        <f t="shared" si="47"/>
        <v>470</v>
      </c>
      <c r="B471" s="52" t="s">
        <v>784</v>
      </c>
      <c r="C471" s="34" t="s">
        <v>317</v>
      </c>
      <c r="D471" s="34" t="s">
        <v>795</v>
      </c>
      <c r="E471" s="34" t="s">
        <v>1441</v>
      </c>
      <c r="F471" s="35">
        <v>45995</v>
      </c>
      <c r="G471" s="35">
        <v>45994</v>
      </c>
      <c r="H471" s="34"/>
      <c r="J471" s="36" t="s">
        <v>792</v>
      </c>
      <c r="K471" s="34"/>
      <c r="L471" s="34"/>
      <c r="M471" s="37">
        <v>190524</v>
      </c>
      <c r="N471" s="37">
        <v>34294.32</v>
      </c>
      <c r="O471" s="37">
        <f t="shared" si="48"/>
        <v>224818.32</v>
      </c>
      <c r="P471" s="34"/>
    </row>
    <row r="472" spans="1:16">
      <c r="A472" s="32">
        <f t="shared" si="47"/>
        <v>471</v>
      </c>
      <c r="B472" s="52" t="s">
        <v>784</v>
      </c>
      <c r="C472" s="34" t="s">
        <v>317</v>
      </c>
      <c r="D472" s="34" t="s">
        <v>795</v>
      </c>
      <c r="E472" s="34" t="s">
        <v>1442</v>
      </c>
      <c r="F472" s="35">
        <v>46029</v>
      </c>
      <c r="G472" s="35">
        <v>46029</v>
      </c>
      <c r="H472" s="34"/>
      <c r="J472" s="36" t="s">
        <v>792</v>
      </c>
      <c r="K472" s="34"/>
      <c r="L472" s="34"/>
      <c r="M472" s="37">
        <v>190524</v>
      </c>
      <c r="N472" s="37">
        <v>34294.32</v>
      </c>
      <c r="O472" s="37">
        <f t="shared" si="48"/>
        <v>224818.32</v>
      </c>
      <c r="P472" s="34"/>
    </row>
    <row r="473" spans="1:16">
      <c r="A473" s="32">
        <f t="shared" si="47"/>
        <v>472</v>
      </c>
      <c r="B473" s="52" t="s">
        <v>784</v>
      </c>
      <c r="C473" s="34" t="s">
        <v>317</v>
      </c>
      <c r="D473" s="34" t="s">
        <v>795</v>
      </c>
      <c r="E473" s="34" t="s">
        <v>1442</v>
      </c>
      <c r="F473" s="35">
        <v>46029</v>
      </c>
      <c r="G473" s="35">
        <v>46029</v>
      </c>
      <c r="H473" s="34"/>
      <c r="J473" s="36" t="s">
        <v>792</v>
      </c>
      <c r="K473" s="34"/>
      <c r="L473" s="34"/>
      <c r="M473" s="37">
        <v>190524</v>
      </c>
      <c r="N473" s="37">
        <v>34294.32</v>
      </c>
      <c r="O473" s="37">
        <f t="shared" si="48"/>
        <v>224818.32</v>
      </c>
      <c r="P473" s="34"/>
    </row>
    <row r="474" spans="1:16">
      <c r="A474" s="32">
        <f t="shared" si="47"/>
        <v>473</v>
      </c>
      <c r="B474" s="52" t="s">
        <v>784</v>
      </c>
      <c r="C474" s="34" t="s">
        <v>317</v>
      </c>
      <c r="D474" s="34" t="s">
        <v>795</v>
      </c>
      <c r="E474" s="34" t="s">
        <v>1442</v>
      </c>
      <c r="F474" s="35">
        <v>46029</v>
      </c>
      <c r="G474" s="35">
        <v>46029</v>
      </c>
      <c r="H474" s="34"/>
      <c r="J474" s="36" t="s">
        <v>792</v>
      </c>
      <c r="K474" s="34"/>
      <c r="L474" s="34"/>
      <c r="M474" s="37">
        <v>190524</v>
      </c>
      <c r="N474" s="37">
        <v>34294.32</v>
      </c>
      <c r="O474" s="37">
        <f t="shared" si="48"/>
        <v>224818.32</v>
      </c>
      <c r="P474" s="34"/>
    </row>
    <row r="475" spans="1:16">
      <c r="A475" s="32">
        <f t="shared" si="47"/>
        <v>474</v>
      </c>
      <c r="B475" s="52" t="s">
        <v>784</v>
      </c>
      <c r="C475" s="34" t="s">
        <v>317</v>
      </c>
      <c r="D475" s="34" t="s">
        <v>795</v>
      </c>
      <c r="E475" s="34" t="s">
        <v>1443</v>
      </c>
      <c r="F475" s="35">
        <v>46035</v>
      </c>
      <c r="G475" s="35">
        <v>46034</v>
      </c>
      <c r="H475" s="34"/>
      <c r="J475" s="36" t="s">
        <v>792</v>
      </c>
      <c r="K475" s="34"/>
      <c r="L475" s="34"/>
      <c r="M475" s="37">
        <v>153898</v>
      </c>
      <c r="N475" s="37">
        <v>27701.64</v>
      </c>
      <c r="O475" s="37">
        <f t="shared" si="48"/>
        <v>181599.64</v>
      </c>
      <c r="P475" s="34"/>
    </row>
    <row r="476" spans="1:16">
      <c r="A476" s="32">
        <f t="shared" si="47"/>
        <v>475</v>
      </c>
      <c r="B476" s="52" t="s">
        <v>784</v>
      </c>
      <c r="C476" s="34" t="s">
        <v>317</v>
      </c>
      <c r="D476" s="34" t="s">
        <v>795</v>
      </c>
      <c r="E476" s="34" t="s">
        <v>1444</v>
      </c>
      <c r="F476" s="35">
        <v>46038</v>
      </c>
      <c r="G476" s="35">
        <v>46007</v>
      </c>
      <c r="H476" s="34"/>
      <c r="J476" s="36" t="s">
        <v>792</v>
      </c>
      <c r="K476" s="34"/>
      <c r="L476" s="34"/>
      <c r="M476" s="37">
        <v>190524</v>
      </c>
      <c r="N476" s="37">
        <v>34294.32</v>
      </c>
      <c r="O476" s="37">
        <f t="shared" si="48"/>
        <v>224818.32</v>
      </c>
      <c r="P476" s="34"/>
    </row>
    <row r="477" spans="1:16">
      <c r="A477" s="32">
        <f t="shared" si="47"/>
        <v>476</v>
      </c>
      <c r="B477" s="52" t="s">
        <v>784</v>
      </c>
      <c r="C477" s="34" t="s">
        <v>317</v>
      </c>
      <c r="D477" s="34" t="s">
        <v>795</v>
      </c>
      <c r="E477" s="34" t="s">
        <v>1445</v>
      </c>
      <c r="F477" s="35">
        <v>46038</v>
      </c>
      <c r="G477" s="35">
        <v>46038</v>
      </c>
      <c r="H477" s="34"/>
      <c r="J477" s="36" t="s">
        <v>792</v>
      </c>
      <c r="K477" s="34"/>
      <c r="L477" s="34"/>
      <c r="M477" s="37">
        <v>190524</v>
      </c>
      <c r="N477" s="37">
        <v>34294.32</v>
      </c>
      <c r="O477" s="37">
        <f t="shared" si="48"/>
        <v>224818.32</v>
      </c>
      <c r="P477" s="34"/>
    </row>
    <row r="478" spans="1:16">
      <c r="A478" s="32">
        <f t="shared" si="47"/>
        <v>477</v>
      </c>
      <c r="B478" s="52" t="s">
        <v>784</v>
      </c>
      <c r="C478" s="34" t="s">
        <v>317</v>
      </c>
      <c r="D478" s="34" t="s">
        <v>795</v>
      </c>
      <c r="E478" s="34" t="s">
        <v>1446</v>
      </c>
      <c r="F478" s="35">
        <v>46057</v>
      </c>
      <c r="G478" s="35">
        <v>46055</v>
      </c>
      <c r="H478" s="34"/>
      <c r="J478" s="36" t="s">
        <v>792</v>
      </c>
      <c r="K478" s="34"/>
      <c r="L478" s="34"/>
      <c r="M478" s="37">
        <v>190524</v>
      </c>
      <c r="N478" s="37">
        <v>34294.32</v>
      </c>
      <c r="O478" s="37">
        <f t="shared" si="48"/>
        <v>224818.32</v>
      </c>
      <c r="P478" s="34"/>
    </row>
    <row r="479" spans="1:16">
      <c r="A479" s="32">
        <f t="shared" si="47"/>
        <v>478</v>
      </c>
      <c r="B479" s="52" t="s">
        <v>784</v>
      </c>
      <c r="C479" s="34" t="s">
        <v>317</v>
      </c>
      <c r="D479" s="34" t="s">
        <v>1447</v>
      </c>
      <c r="E479" s="34" t="s">
        <v>1448</v>
      </c>
      <c r="F479" s="35">
        <v>46062</v>
      </c>
      <c r="G479" s="35">
        <v>46062</v>
      </c>
      <c r="H479" s="34"/>
      <c r="J479" s="36" t="s">
        <v>792</v>
      </c>
      <c r="K479" s="34"/>
      <c r="L479" s="34"/>
      <c r="M479" s="37">
        <v>190602</v>
      </c>
      <c r="N479" s="37">
        <v>34308.36</v>
      </c>
      <c r="O479" s="37">
        <f t="shared" si="48"/>
        <v>224910.36</v>
      </c>
      <c r="P479" s="34"/>
    </row>
    <row r="480" spans="1:16">
      <c r="A480" s="32">
        <f t="shared" si="47"/>
        <v>479</v>
      </c>
      <c r="B480" s="52" t="s">
        <v>784</v>
      </c>
      <c r="C480" s="34" t="s">
        <v>317</v>
      </c>
      <c r="D480" s="34" t="s">
        <v>1447</v>
      </c>
      <c r="E480" s="34" t="s">
        <v>1448</v>
      </c>
      <c r="F480" s="35">
        <v>46062</v>
      </c>
      <c r="G480" s="35">
        <v>46062</v>
      </c>
      <c r="H480" s="34"/>
      <c r="J480" s="36" t="s">
        <v>792</v>
      </c>
      <c r="K480" s="34"/>
      <c r="L480" s="34"/>
      <c r="M480" s="37">
        <v>190602</v>
      </c>
      <c r="N480" s="37">
        <v>34308.36</v>
      </c>
      <c r="O480" s="37">
        <f t="shared" si="48"/>
        <v>224910.36</v>
      </c>
      <c r="P480" s="34"/>
    </row>
    <row r="481" spans="1:16">
      <c r="A481" s="32">
        <f t="shared" si="47"/>
        <v>480</v>
      </c>
      <c r="B481" s="52" t="s">
        <v>784</v>
      </c>
      <c r="C481" s="34" t="s">
        <v>317</v>
      </c>
      <c r="D481" s="34" t="s">
        <v>1447</v>
      </c>
      <c r="E481" s="34" t="s">
        <v>1449</v>
      </c>
      <c r="F481" s="35">
        <v>46070</v>
      </c>
      <c r="G481" s="35">
        <v>46070</v>
      </c>
      <c r="H481" s="34"/>
      <c r="J481" s="36" t="s">
        <v>792</v>
      </c>
      <c r="K481" s="34"/>
      <c r="L481" s="34"/>
      <c r="M481" s="37">
        <v>190602</v>
      </c>
      <c r="N481" s="37">
        <v>34308.36</v>
      </c>
      <c r="O481" s="37">
        <f t="shared" si="48"/>
        <v>224910.36</v>
      </c>
      <c r="P481" s="34"/>
    </row>
    <row r="482" spans="1:16">
      <c r="A482" s="32">
        <f t="shared" si="47"/>
        <v>481</v>
      </c>
      <c r="B482" s="52" t="s">
        <v>784</v>
      </c>
      <c r="C482" s="34" t="s">
        <v>317</v>
      </c>
      <c r="D482" s="34" t="s">
        <v>1447</v>
      </c>
      <c r="E482" s="34" t="s">
        <v>1449</v>
      </c>
      <c r="F482" s="35">
        <v>46070</v>
      </c>
      <c r="G482" s="35">
        <v>46070</v>
      </c>
      <c r="H482" s="34"/>
      <c r="J482" s="36" t="s">
        <v>792</v>
      </c>
      <c r="K482" s="34"/>
      <c r="L482" s="34"/>
      <c r="M482" s="37">
        <v>75338.98</v>
      </c>
      <c r="N482" s="37">
        <v>13561.016399999999</v>
      </c>
      <c r="O482" s="37">
        <f t="shared" si="48"/>
        <v>88899.996399999989</v>
      </c>
      <c r="P482" s="34"/>
    </row>
    <row r="483" spans="1:16">
      <c r="A483" s="32">
        <f t="shared" si="47"/>
        <v>482</v>
      </c>
      <c r="B483" s="52" t="s">
        <v>784</v>
      </c>
      <c r="C483" s="34" t="s">
        <v>317</v>
      </c>
      <c r="D483" s="34" t="s">
        <v>1447</v>
      </c>
      <c r="E483" s="34" t="s">
        <v>1449</v>
      </c>
      <c r="F483" s="35">
        <v>46070</v>
      </c>
      <c r="G483" s="35">
        <v>46070</v>
      </c>
      <c r="H483" s="34"/>
      <c r="J483" s="36" t="s">
        <v>792</v>
      </c>
      <c r="K483" s="34"/>
      <c r="L483" s="34"/>
      <c r="M483" s="37">
        <v>159237.28</v>
      </c>
      <c r="N483" s="37">
        <v>28662.7104</v>
      </c>
      <c r="O483" s="37">
        <f t="shared" si="48"/>
        <v>187899.99040000001</v>
      </c>
      <c r="P483" s="34"/>
    </row>
    <row r="484" spans="1:16">
      <c r="A484" s="32">
        <f t="shared" si="47"/>
        <v>483</v>
      </c>
      <c r="B484" s="52" t="s">
        <v>784</v>
      </c>
      <c r="C484" s="34" t="s">
        <v>317</v>
      </c>
      <c r="D484" s="34" t="s">
        <v>1447</v>
      </c>
      <c r="E484" s="34" t="s">
        <v>1449</v>
      </c>
      <c r="F484" s="35">
        <v>46070</v>
      </c>
      <c r="G484" s="35">
        <v>46070</v>
      </c>
      <c r="H484" s="34"/>
      <c r="J484" s="36" t="s">
        <v>792</v>
      </c>
      <c r="K484" s="34"/>
      <c r="L484" s="34"/>
      <c r="M484" s="37">
        <v>190602</v>
      </c>
      <c r="N484" s="37">
        <v>34308.36</v>
      </c>
      <c r="O484" s="37">
        <f t="shared" si="48"/>
        <v>224910.36</v>
      </c>
      <c r="P484" s="34"/>
    </row>
    <row r="485" spans="1:16">
      <c r="A485" s="32">
        <f t="shared" si="47"/>
        <v>484</v>
      </c>
      <c r="B485" s="52" t="s">
        <v>784</v>
      </c>
      <c r="C485" s="34" t="s">
        <v>317</v>
      </c>
      <c r="D485" s="34" t="s">
        <v>795</v>
      </c>
      <c r="E485" s="34" t="s">
        <v>1450</v>
      </c>
      <c r="F485" s="35">
        <v>46079</v>
      </c>
      <c r="G485" s="35">
        <v>46034</v>
      </c>
      <c r="H485" s="34"/>
      <c r="J485" s="36" t="s">
        <v>792</v>
      </c>
      <c r="K485" s="34"/>
      <c r="L485" s="34"/>
      <c r="M485" s="37">
        <v>190524</v>
      </c>
      <c r="N485" s="37">
        <v>34294.32</v>
      </c>
      <c r="O485" s="37">
        <f t="shared" si="48"/>
        <v>224818.32</v>
      </c>
      <c r="P485" s="34"/>
    </row>
    <row r="486" spans="1:16">
      <c r="A486" s="32">
        <f t="shared" si="47"/>
        <v>485</v>
      </c>
      <c r="B486" s="52" t="s">
        <v>784</v>
      </c>
      <c r="C486" s="34" t="s">
        <v>317</v>
      </c>
      <c r="D486" s="34" t="s">
        <v>795</v>
      </c>
      <c r="E486" s="34" t="s">
        <v>1451</v>
      </c>
      <c r="F486" s="35">
        <v>44918</v>
      </c>
      <c r="G486" s="35">
        <v>44918</v>
      </c>
      <c r="H486" s="34"/>
      <c r="J486" s="36"/>
      <c r="K486" s="34"/>
      <c r="L486" s="34"/>
      <c r="M486" s="37">
        <v>182901</v>
      </c>
      <c r="N486" s="37">
        <v>32922.18</v>
      </c>
      <c r="O486" s="37">
        <f t="shared" si="48"/>
        <v>215823.18</v>
      </c>
      <c r="P486" s="34"/>
    </row>
    <row r="487" spans="1:16">
      <c r="A487" s="32">
        <f t="shared" si="47"/>
        <v>486</v>
      </c>
      <c r="B487" s="52" t="s">
        <v>784</v>
      </c>
      <c r="C487" s="34" t="s">
        <v>317</v>
      </c>
      <c r="D487" s="34" t="s">
        <v>795</v>
      </c>
      <c r="E487" s="34" t="s">
        <v>857</v>
      </c>
      <c r="F487" s="35">
        <v>45014</v>
      </c>
      <c r="G487" s="35">
        <v>45015</v>
      </c>
      <c r="H487" s="34"/>
      <c r="J487" s="36" t="s">
        <v>792</v>
      </c>
      <c r="K487" s="34"/>
      <c r="L487" s="34"/>
      <c r="M487" s="37">
        <v>176430</v>
      </c>
      <c r="N487" s="37">
        <v>31757.4</v>
      </c>
      <c r="O487" s="37">
        <f t="shared" si="48"/>
        <v>208187.4</v>
      </c>
      <c r="P487" s="34"/>
    </row>
    <row r="488" spans="1:16">
      <c r="A488" s="32">
        <f t="shared" si="47"/>
        <v>487</v>
      </c>
      <c r="B488" s="52" t="s">
        <v>784</v>
      </c>
      <c r="C488" s="34" t="s">
        <v>317</v>
      </c>
      <c r="D488" s="34" t="s">
        <v>795</v>
      </c>
      <c r="E488" s="34" t="s">
        <v>859</v>
      </c>
      <c r="F488" s="35">
        <v>45014</v>
      </c>
      <c r="G488" s="35">
        <v>45015</v>
      </c>
      <c r="H488" s="34"/>
      <c r="J488" s="36" t="s">
        <v>792</v>
      </c>
      <c r="K488" s="34"/>
      <c r="L488" s="34"/>
      <c r="M488" s="37">
        <v>115500</v>
      </c>
      <c r="N488" s="37">
        <v>20790</v>
      </c>
      <c r="O488" s="37">
        <f t="shared" si="48"/>
        <v>136290</v>
      </c>
      <c r="P488" s="34"/>
    </row>
    <row r="489" spans="1:16">
      <c r="A489" s="32">
        <f t="shared" si="47"/>
        <v>488</v>
      </c>
      <c r="B489" s="52" t="s">
        <v>784</v>
      </c>
      <c r="C489" s="34" t="s">
        <v>317</v>
      </c>
      <c r="D489" s="34" t="s">
        <v>795</v>
      </c>
      <c r="E489" s="34" t="s">
        <v>1452</v>
      </c>
      <c r="F489" s="35">
        <v>44902</v>
      </c>
      <c r="G489" s="35">
        <v>44903</v>
      </c>
      <c r="H489" s="34"/>
      <c r="J489" s="36" t="s">
        <v>792</v>
      </c>
      <c r="K489" s="34"/>
      <c r="L489" s="34"/>
      <c r="M489" s="37">
        <v>99850</v>
      </c>
      <c r="N489" s="37">
        <v>17973</v>
      </c>
      <c r="O489" s="37">
        <f t="shared" si="48"/>
        <v>117823</v>
      </c>
      <c r="P489" s="34"/>
    </row>
    <row r="490" spans="1:16">
      <c r="A490" s="32">
        <f t="shared" si="47"/>
        <v>489</v>
      </c>
      <c r="B490" s="52" t="s">
        <v>784</v>
      </c>
      <c r="C490" s="34" t="s">
        <v>317</v>
      </c>
      <c r="D490" s="34" t="s">
        <v>795</v>
      </c>
      <c r="E490" s="34" t="s">
        <v>1453</v>
      </c>
      <c r="F490" s="35">
        <v>44902</v>
      </c>
      <c r="G490" s="35">
        <v>44903</v>
      </c>
      <c r="H490" s="34"/>
      <c r="J490" s="36" t="s">
        <v>792</v>
      </c>
      <c r="K490" s="34"/>
      <c r="L490" s="34"/>
      <c r="M490" s="37">
        <v>120000</v>
      </c>
      <c r="N490" s="37">
        <v>21600</v>
      </c>
      <c r="O490" s="37">
        <f t="shared" si="48"/>
        <v>141600</v>
      </c>
      <c r="P490" s="34"/>
    </row>
    <row r="491" spans="1:16">
      <c r="A491" s="32">
        <f t="shared" si="47"/>
        <v>490</v>
      </c>
      <c r="B491" s="52" t="s">
        <v>784</v>
      </c>
      <c r="C491" s="34" t="s">
        <v>15</v>
      </c>
      <c r="D491" s="34" t="s">
        <v>795</v>
      </c>
      <c r="E491" s="34" t="s">
        <v>1454</v>
      </c>
      <c r="F491" s="35">
        <v>44902</v>
      </c>
      <c r="G491" s="35">
        <v>44903</v>
      </c>
      <c r="H491" s="34"/>
      <c r="J491" s="36"/>
      <c r="K491" s="34"/>
      <c r="L491" s="34"/>
      <c r="M491" s="37">
        <v>17067</v>
      </c>
      <c r="N491" s="37">
        <v>3072.06</v>
      </c>
      <c r="O491" s="37">
        <f t="shared" si="48"/>
        <v>20139.060000000001</v>
      </c>
      <c r="P491" s="34"/>
    </row>
    <row r="492" spans="1:16">
      <c r="A492" s="32">
        <f t="shared" si="47"/>
        <v>491</v>
      </c>
      <c r="B492" s="52" t="s">
        <v>784</v>
      </c>
      <c r="C492" s="34" t="s">
        <v>15</v>
      </c>
      <c r="D492" s="34" t="s">
        <v>795</v>
      </c>
      <c r="E492" s="34" t="s">
        <v>1454</v>
      </c>
      <c r="F492" s="35">
        <v>44902</v>
      </c>
      <c r="G492" s="35">
        <v>44903</v>
      </c>
      <c r="H492" s="34"/>
      <c r="J492" s="36"/>
      <c r="K492" s="34"/>
      <c r="L492" s="34"/>
      <c r="M492" s="37">
        <v>17067</v>
      </c>
      <c r="N492" s="37">
        <v>3072.06</v>
      </c>
      <c r="O492" s="37">
        <f t="shared" si="48"/>
        <v>20139.060000000001</v>
      </c>
      <c r="P492" s="34"/>
    </row>
    <row r="493" spans="1:16">
      <c r="M493" s="57">
        <f>SUM(M2:M492)</f>
        <v>49276467.250000015</v>
      </c>
      <c r="O493" s="57">
        <f>SUM(O2:O492)</f>
        <v>61877050.433400035</v>
      </c>
    </row>
  </sheetData>
  <autoFilter ref="A1:P492" xr:uid="{A224A8DC-70EA-4955-8C82-DB4F2D2A433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DDD63-F1F5-4634-85FE-9800FEA77D32}">
  <sheetPr filterMode="1"/>
  <dimension ref="A1:G302"/>
  <sheetViews>
    <sheetView workbookViewId="0">
      <selection activeCell="F16" sqref="F16"/>
    </sheetView>
  </sheetViews>
  <sheetFormatPr defaultRowHeight="15"/>
  <cols>
    <col min="2" max="2" width="45.85546875" customWidth="1"/>
    <col min="3" max="3" width="38" customWidth="1"/>
    <col min="4" max="4" width="58.42578125" customWidth="1"/>
    <col min="6" max="7" width="110.28515625" customWidth="1"/>
  </cols>
  <sheetData>
    <row r="1" spans="1:7">
      <c r="A1" s="1" t="s">
        <v>0</v>
      </c>
      <c r="B1" s="1" t="s">
        <v>1455</v>
      </c>
      <c r="C1" s="1" t="s">
        <v>1456</v>
      </c>
      <c r="D1" s="1" t="s">
        <v>3</v>
      </c>
      <c r="E1" s="1" t="s">
        <v>771</v>
      </c>
      <c r="F1" s="1" t="s">
        <v>1457</v>
      </c>
      <c r="G1" s="1" t="s">
        <v>1458</v>
      </c>
    </row>
    <row r="2" spans="1:7" hidden="1">
      <c r="A2" s="6">
        <v>1</v>
      </c>
      <c r="B2" s="7" t="s">
        <v>1459</v>
      </c>
      <c r="C2" s="7" t="s">
        <v>13</v>
      </c>
      <c r="D2" s="7" t="s">
        <v>14</v>
      </c>
      <c r="E2" s="7" t="s">
        <v>15</v>
      </c>
      <c r="F2" s="7" t="s">
        <v>1460</v>
      </c>
      <c r="G2" s="7" t="b">
        <v>1</v>
      </c>
    </row>
    <row r="3" spans="1:7" hidden="1">
      <c r="A3" s="4">
        <v>2</v>
      </c>
      <c r="B3" s="5" t="s">
        <v>1461</v>
      </c>
      <c r="C3" s="5" t="s">
        <v>18</v>
      </c>
      <c r="D3" s="5" t="s">
        <v>18</v>
      </c>
      <c r="E3" s="5" t="s">
        <v>15</v>
      </c>
      <c r="F3" s="5" t="s">
        <v>1462</v>
      </c>
      <c r="G3" s="5"/>
    </row>
    <row r="4" spans="1:7" hidden="1">
      <c r="A4" s="6">
        <v>3</v>
      </c>
      <c r="B4" s="7" t="s">
        <v>1463</v>
      </c>
      <c r="C4" s="7" t="s">
        <v>22</v>
      </c>
      <c r="D4" s="7" t="s">
        <v>23</v>
      </c>
      <c r="E4" s="7" t="s">
        <v>15</v>
      </c>
      <c r="F4" s="7" t="s">
        <v>24</v>
      </c>
      <c r="G4" s="7"/>
    </row>
    <row r="5" spans="1:7" hidden="1">
      <c r="A5" s="4">
        <v>4</v>
      </c>
      <c r="B5" s="5" t="s">
        <v>1464</v>
      </c>
      <c r="C5" s="5" t="s">
        <v>128</v>
      </c>
      <c r="D5" s="5" t="s">
        <v>129</v>
      </c>
      <c r="E5" s="5" t="s">
        <v>32</v>
      </c>
      <c r="F5" s="5" t="s">
        <v>130</v>
      </c>
      <c r="G5" s="5"/>
    </row>
    <row r="6" spans="1:7" hidden="1">
      <c r="A6" s="10">
        <v>5</v>
      </c>
      <c r="B6" s="11" t="s">
        <v>1465</v>
      </c>
      <c r="C6" s="11" t="s">
        <v>146</v>
      </c>
      <c r="D6" s="11" t="s">
        <v>147</v>
      </c>
      <c r="E6" s="11" t="s">
        <v>32</v>
      </c>
      <c r="F6" s="11" t="s">
        <v>148</v>
      </c>
      <c r="G6" s="11"/>
    </row>
    <row r="7" spans="1:7" hidden="1">
      <c r="A7" s="4">
        <v>6</v>
      </c>
      <c r="B7" s="5" t="s">
        <v>1466</v>
      </c>
      <c r="C7" s="5" t="s">
        <v>153</v>
      </c>
      <c r="D7" s="5" t="s">
        <v>154</v>
      </c>
      <c r="E7" s="5" t="s">
        <v>32</v>
      </c>
      <c r="F7" s="5" t="s">
        <v>155</v>
      </c>
      <c r="G7" s="5"/>
    </row>
    <row r="8" spans="1:7" hidden="1">
      <c r="A8" s="10">
        <v>7</v>
      </c>
      <c r="B8" s="11" t="s">
        <v>1467</v>
      </c>
      <c r="C8" s="11" t="s">
        <v>167</v>
      </c>
      <c r="D8" s="11" t="s">
        <v>168</v>
      </c>
      <c r="E8" s="11" t="s">
        <v>32</v>
      </c>
      <c r="F8" s="11" t="s">
        <v>169</v>
      </c>
      <c r="G8" s="11"/>
    </row>
    <row r="9" spans="1:7">
      <c r="A9" s="4">
        <v>8</v>
      </c>
      <c r="B9" s="5" t="s">
        <v>1468</v>
      </c>
      <c r="C9" s="5" t="s">
        <v>315</v>
      </c>
      <c r="D9" s="5" t="s">
        <v>316</v>
      </c>
      <c r="E9" s="5" t="s">
        <v>317</v>
      </c>
      <c r="F9" s="5" t="s">
        <v>318</v>
      </c>
      <c r="G9" s="5"/>
    </row>
    <row r="10" spans="1:7">
      <c r="A10" s="12">
        <v>9</v>
      </c>
      <c r="B10" s="13" t="s">
        <v>1469</v>
      </c>
      <c r="C10" s="13" t="s">
        <v>30</v>
      </c>
      <c r="D10" s="13" t="s">
        <v>31</v>
      </c>
      <c r="E10" s="13" t="s">
        <v>317</v>
      </c>
      <c r="F10" s="13" t="s">
        <v>319</v>
      </c>
      <c r="G10" s="13" t="b">
        <v>1</v>
      </c>
    </row>
    <row r="11" spans="1:7">
      <c r="A11" s="4">
        <v>10</v>
      </c>
      <c r="B11" s="5" t="s">
        <v>1470</v>
      </c>
      <c r="C11" s="5" t="s">
        <v>34</v>
      </c>
      <c r="D11" s="5" t="s">
        <v>35</v>
      </c>
      <c r="E11" s="5" t="s">
        <v>317</v>
      </c>
      <c r="F11" s="5" t="s">
        <v>320</v>
      </c>
      <c r="G11" s="5"/>
    </row>
    <row r="12" spans="1:7">
      <c r="A12" s="12">
        <v>11</v>
      </c>
      <c r="B12" s="13" t="s">
        <v>1471</v>
      </c>
      <c r="C12" s="13" t="s">
        <v>37</v>
      </c>
      <c r="D12" s="13" t="s">
        <v>38</v>
      </c>
      <c r="E12" s="13" t="s">
        <v>317</v>
      </c>
      <c r="F12" s="13" t="s">
        <v>321</v>
      </c>
      <c r="G12" s="13" t="s">
        <v>1472</v>
      </c>
    </row>
    <row r="13" spans="1:7">
      <c r="A13" s="4">
        <v>12</v>
      </c>
      <c r="B13" s="5" t="s">
        <v>1473</v>
      </c>
      <c r="C13" s="5" t="s">
        <v>27</v>
      </c>
      <c r="D13" s="5" t="s">
        <v>27</v>
      </c>
      <c r="E13" s="5" t="s">
        <v>317</v>
      </c>
      <c r="F13" s="5" t="s">
        <v>322</v>
      </c>
      <c r="G13" s="5" t="b">
        <v>1</v>
      </c>
    </row>
    <row r="14" spans="1:7">
      <c r="A14" s="12">
        <v>13</v>
      </c>
      <c r="B14" s="13" t="s">
        <v>1474</v>
      </c>
      <c r="C14" s="13" t="s">
        <v>324</v>
      </c>
      <c r="D14" s="13" t="s">
        <v>325</v>
      </c>
      <c r="E14" s="13" t="s">
        <v>317</v>
      </c>
      <c r="F14" s="13" t="s">
        <v>326</v>
      </c>
      <c r="G14" s="13" t="b">
        <v>1</v>
      </c>
    </row>
    <row r="15" spans="1:7">
      <c r="A15" s="4">
        <v>14</v>
      </c>
      <c r="B15" s="5" t="s">
        <v>1475</v>
      </c>
      <c r="C15" s="5" t="s">
        <v>328</v>
      </c>
      <c r="D15" s="5" t="s">
        <v>329</v>
      </c>
      <c r="E15" s="5" t="s">
        <v>317</v>
      </c>
      <c r="F15" s="5" t="s">
        <v>330</v>
      </c>
      <c r="G15" s="5"/>
    </row>
    <row r="16" spans="1:7">
      <c r="A16" s="12">
        <v>15</v>
      </c>
      <c r="B16" s="13" t="s">
        <v>1476</v>
      </c>
      <c r="C16" s="13" t="s">
        <v>40</v>
      </c>
      <c r="D16" s="13" t="s">
        <v>41</v>
      </c>
      <c r="E16" s="13" t="s">
        <v>317</v>
      </c>
      <c r="F16" s="13" t="s">
        <v>331</v>
      </c>
      <c r="G16" s="13" t="b">
        <v>1</v>
      </c>
    </row>
    <row r="17" spans="1:7">
      <c r="A17" s="4">
        <v>16</v>
      </c>
      <c r="B17" s="5" t="s">
        <v>1477</v>
      </c>
      <c r="C17" s="5" t="s">
        <v>333</v>
      </c>
      <c r="D17" s="5" t="s">
        <v>333</v>
      </c>
      <c r="E17" s="5" t="s">
        <v>317</v>
      </c>
      <c r="F17" s="5" t="s">
        <v>334</v>
      </c>
      <c r="G17" s="5" t="b">
        <v>1</v>
      </c>
    </row>
    <row r="18" spans="1:7">
      <c r="A18" s="12">
        <v>17</v>
      </c>
      <c r="B18" s="13" t="s">
        <v>1478</v>
      </c>
      <c r="C18" s="13" t="s">
        <v>43</v>
      </c>
      <c r="D18" s="13" t="s">
        <v>44</v>
      </c>
      <c r="E18" s="13" t="s">
        <v>317</v>
      </c>
      <c r="F18" s="13" t="s">
        <v>335</v>
      </c>
      <c r="G18" s="13" t="b">
        <v>1</v>
      </c>
    </row>
    <row r="19" spans="1:7">
      <c r="A19" s="4">
        <v>18</v>
      </c>
      <c r="B19" s="5" t="s">
        <v>1479</v>
      </c>
      <c r="C19" s="5" t="s">
        <v>337</v>
      </c>
      <c r="D19" s="5" t="s">
        <v>338</v>
      </c>
      <c r="E19" s="5" t="s">
        <v>317</v>
      </c>
      <c r="F19" s="5" t="s">
        <v>339</v>
      </c>
      <c r="G19" s="5" t="s">
        <v>1472</v>
      </c>
    </row>
    <row r="20" spans="1:7">
      <c r="A20" s="12">
        <v>19</v>
      </c>
      <c r="B20" s="13" t="s">
        <v>1480</v>
      </c>
      <c r="C20" s="13" t="s">
        <v>46</v>
      </c>
      <c r="D20" s="13" t="s">
        <v>47</v>
      </c>
      <c r="E20" s="13" t="s">
        <v>317</v>
      </c>
      <c r="F20" s="13" t="s">
        <v>340</v>
      </c>
      <c r="G20" s="13" t="b">
        <v>1</v>
      </c>
    </row>
    <row r="21" spans="1:7">
      <c r="A21" s="4">
        <v>20</v>
      </c>
      <c r="B21" s="5" t="s">
        <v>1481</v>
      </c>
      <c r="C21" s="5" t="s">
        <v>342</v>
      </c>
      <c r="D21" s="5" t="s">
        <v>343</v>
      </c>
      <c r="E21" s="5" t="s">
        <v>317</v>
      </c>
      <c r="F21" s="5" t="s">
        <v>344</v>
      </c>
      <c r="G21" s="5" t="b">
        <v>1</v>
      </c>
    </row>
    <row r="22" spans="1:7">
      <c r="A22" s="12">
        <v>21</v>
      </c>
      <c r="B22" s="13" t="s">
        <v>1482</v>
      </c>
      <c r="C22" s="13" t="s">
        <v>49</v>
      </c>
      <c r="D22" s="13" t="s">
        <v>50</v>
      </c>
      <c r="E22" s="13" t="s">
        <v>317</v>
      </c>
      <c r="F22" s="13" t="s">
        <v>345</v>
      </c>
      <c r="G22" s="13"/>
    </row>
    <row r="23" spans="1:7">
      <c r="A23" s="4">
        <v>22</v>
      </c>
      <c r="B23" s="5" t="s">
        <v>1483</v>
      </c>
      <c r="C23" s="5" t="s">
        <v>52</v>
      </c>
      <c r="D23" s="5" t="s">
        <v>53</v>
      </c>
      <c r="E23" s="5" t="s">
        <v>317</v>
      </c>
      <c r="F23" s="5" t="s">
        <v>346</v>
      </c>
      <c r="G23" s="5" t="b">
        <v>1</v>
      </c>
    </row>
    <row r="24" spans="1:7">
      <c r="A24" s="12">
        <v>23</v>
      </c>
      <c r="B24" s="13" t="s">
        <v>1484</v>
      </c>
      <c r="C24" s="13" t="s">
        <v>55</v>
      </c>
      <c r="D24" s="13" t="s">
        <v>56</v>
      </c>
      <c r="E24" s="13" t="s">
        <v>317</v>
      </c>
      <c r="F24" s="13" t="s">
        <v>347</v>
      </c>
      <c r="G24" s="13" t="b">
        <v>1</v>
      </c>
    </row>
    <row r="25" spans="1:7">
      <c r="A25" s="4">
        <v>24</v>
      </c>
      <c r="B25" s="5" t="s">
        <v>1485</v>
      </c>
      <c r="C25" s="5" t="s">
        <v>58</v>
      </c>
      <c r="D25" s="5" t="s">
        <v>59</v>
      </c>
      <c r="E25" s="5" t="s">
        <v>317</v>
      </c>
      <c r="F25" s="5" t="s">
        <v>348</v>
      </c>
      <c r="G25" s="5" t="b">
        <v>1</v>
      </c>
    </row>
    <row r="26" spans="1:7">
      <c r="A26" s="12">
        <v>25</v>
      </c>
      <c r="B26" s="13" t="s">
        <v>1486</v>
      </c>
      <c r="C26" s="13" t="s">
        <v>61</v>
      </c>
      <c r="D26" s="13" t="s">
        <v>62</v>
      </c>
      <c r="E26" s="13" t="s">
        <v>317</v>
      </c>
      <c r="F26" s="13" t="s">
        <v>349</v>
      </c>
      <c r="G26" s="13"/>
    </row>
    <row r="27" spans="1:7">
      <c r="A27" s="4">
        <v>26</v>
      </c>
      <c r="B27" s="5" t="s">
        <v>1487</v>
      </c>
      <c r="C27" s="5" t="s">
        <v>351</v>
      </c>
      <c r="D27" s="5" t="s">
        <v>352</v>
      </c>
      <c r="E27" s="5" t="s">
        <v>317</v>
      </c>
      <c r="F27" s="5" t="s">
        <v>353</v>
      </c>
      <c r="G27" s="5" t="b">
        <v>1</v>
      </c>
    </row>
    <row r="28" spans="1:7">
      <c r="A28" s="12">
        <v>27</v>
      </c>
      <c r="B28" s="13" t="s">
        <v>1488</v>
      </c>
      <c r="C28" s="13" t="s">
        <v>355</v>
      </c>
      <c r="D28" s="13" t="s">
        <v>356</v>
      </c>
      <c r="E28" s="13" t="s">
        <v>317</v>
      </c>
      <c r="F28" s="13" t="s">
        <v>357</v>
      </c>
      <c r="G28" s="13" t="b">
        <v>1</v>
      </c>
    </row>
    <row r="29" spans="1:7">
      <c r="A29" s="4">
        <v>28</v>
      </c>
      <c r="B29" s="5" t="s">
        <v>1489</v>
      </c>
      <c r="C29" s="5" t="s">
        <v>359</v>
      </c>
      <c r="D29" s="5" t="s">
        <v>360</v>
      </c>
      <c r="E29" s="5" t="s">
        <v>317</v>
      </c>
      <c r="F29" s="5" t="s">
        <v>361</v>
      </c>
      <c r="G29" s="5"/>
    </row>
    <row r="30" spans="1:7">
      <c r="A30" s="12">
        <v>29</v>
      </c>
      <c r="B30" s="13" t="s">
        <v>1490</v>
      </c>
      <c r="C30" s="13" t="s">
        <v>64</v>
      </c>
      <c r="D30" s="13" t="s">
        <v>65</v>
      </c>
      <c r="E30" s="13" t="s">
        <v>317</v>
      </c>
      <c r="F30" s="13" t="s">
        <v>362</v>
      </c>
      <c r="G30" s="13" t="b">
        <v>1</v>
      </c>
    </row>
    <row r="31" spans="1:7">
      <c r="A31" s="4">
        <v>30</v>
      </c>
      <c r="B31" s="5" t="s">
        <v>1491</v>
      </c>
      <c r="C31" s="5" t="s">
        <v>364</v>
      </c>
      <c r="D31" s="5" t="s">
        <v>365</v>
      </c>
      <c r="E31" s="5" t="s">
        <v>317</v>
      </c>
      <c r="F31" s="5" t="s">
        <v>366</v>
      </c>
      <c r="G31" s="5" t="s">
        <v>1472</v>
      </c>
    </row>
    <row r="32" spans="1:7">
      <c r="A32" s="12">
        <v>31</v>
      </c>
      <c r="B32" s="13" t="s">
        <v>1492</v>
      </c>
      <c r="C32" s="13" t="s">
        <v>67</v>
      </c>
      <c r="D32" s="13" t="s">
        <v>68</v>
      </c>
      <c r="E32" s="13" t="s">
        <v>317</v>
      </c>
      <c r="F32" s="13" t="s">
        <v>367</v>
      </c>
      <c r="G32" s="13" t="b">
        <v>1</v>
      </c>
    </row>
    <row r="33" spans="1:7">
      <c r="A33" s="4">
        <v>32</v>
      </c>
      <c r="B33" s="5" t="s">
        <v>1493</v>
      </c>
      <c r="C33" s="5" t="s">
        <v>369</v>
      </c>
      <c r="D33" s="5" t="s">
        <v>369</v>
      </c>
      <c r="E33" s="5" t="s">
        <v>317</v>
      </c>
      <c r="F33" s="5" t="s">
        <v>370</v>
      </c>
      <c r="G33" s="5" t="b">
        <v>1</v>
      </c>
    </row>
    <row r="34" spans="1:7">
      <c r="A34" s="12">
        <v>33</v>
      </c>
      <c r="B34" s="13" t="s">
        <v>1494</v>
      </c>
      <c r="C34" s="13" t="s">
        <v>70</v>
      </c>
      <c r="D34" s="13" t="s">
        <v>71</v>
      </c>
      <c r="E34" s="13" t="s">
        <v>317</v>
      </c>
      <c r="F34" s="13" t="s">
        <v>371</v>
      </c>
      <c r="G34" s="13" t="b">
        <v>1</v>
      </c>
    </row>
    <row r="35" spans="1:7">
      <c r="A35" s="4">
        <v>34</v>
      </c>
      <c r="B35" s="5" t="s">
        <v>1495</v>
      </c>
      <c r="C35" s="5" t="s">
        <v>373</v>
      </c>
      <c r="D35" s="5" t="s">
        <v>374</v>
      </c>
      <c r="E35" s="5" t="s">
        <v>317</v>
      </c>
      <c r="F35" s="5" t="s">
        <v>375</v>
      </c>
      <c r="G35" s="5" t="b">
        <v>1</v>
      </c>
    </row>
    <row r="36" spans="1:7">
      <c r="A36" s="12">
        <v>35</v>
      </c>
      <c r="B36" s="13" t="s">
        <v>1496</v>
      </c>
      <c r="C36" s="13" t="s">
        <v>377</v>
      </c>
      <c r="D36" s="13" t="s">
        <v>378</v>
      </c>
      <c r="E36" s="13" t="s">
        <v>317</v>
      </c>
      <c r="F36" s="13" t="s">
        <v>379</v>
      </c>
      <c r="G36" s="13" t="b">
        <v>1</v>
      </c>
    </row>
    <row r="37" spans="1:7">
      <c r="A37" s="4">
        <v>36</v>
      </c>
      <c r="B37" s="5" t="s">
        <v>1497</v>
      </c>
      <c r="C37" s="5" t="s">
        <v>73</v>
      </c>
      <c r="D37" s="5" t="s">
        <v>74</v>
      </c>
      <c r="E37" s="5" t="s">
        <v>317</v>
      </c>
      <c r="F37" s="5" t="s">
        <v>380</v>
      </c>
      <c r="G37" s="5" t="b">
        <v>1</v>
      </c>
    </row>
    <row r="38" spans="1:7">
      <c r="A38" s="12">
        <v>37</v>
      </c>
      <c r="B38" s="13" t="s">
        <v>1498</v>
      </c>
      <c r="C38" s="13" t="s">
        <v>76</v>
      </c>
      <c r="D38" s="13" t="s">
        <v>76</v>
      </c>
      <c r="E38" s="13" t="s">
        <v>317</v>
      </c>
      <c r="F38" s="13" t="s">
        <v>1499</v>
      </c>
      <c r="G38" s="13"/>
    </row>
    <row r="39" spans="1:7">
      <c r="A39" s="4">
        <v>38</v>
      </c>
      <c r="B39" s="5" t="s">
        <v>1500</v>
      </c>
      <c r="C39" s="5" t="s">
        <v>78</v>
      </c>
      <c r="D39" s="5" t="s">
        <v>79</v>
      </c>
      <c r="E39" s="5" t="s">
        <v>317</v>
      </c>
      <c r="F39" s="5" t="s">
        <v>382</v>
      </c>
      <c r="G39" s="5" t="b">
        <v>1</v>
      </c>
    </row>
    <row r="40" spans="1:7">
      <c r="A40" s="12">
        <v>39</v>
      </c>
      <c r="B40" s="13" t="s">
        <v>1501</v>
      </c>
      <c r="C40" s="13" t="s">
        <v>81</v>
      </c>
      <c r="D40" s="13" t="s">
        <v>82</v>
      </c>
      <c r="E40" s="13" t="s">
        <v>317</v>
      </c>
      <c r="F40" s="13" t="s">
        <v>383</v>
      </c>
      <c r="G40" s="13" t="b">
        <v>1</v>
      </c>
    </row>
    <row r="41" spans="1:7">
      <c r="A41" s="4">
        <v>40</v>
      </c>
      <c r="B41" s="5" t="s">
        <v>1502</v>
      </c>
      <c r="C41" s="5" t="s">
        <v>84</v>
      </c>
      <c r="D41" s="5" t="s">
        <v>85</v>
      </c>
      <c r="E41" s="5" t="s">
        <v>317</v>
      </c>
      <c r="F41" s="5" t="s">
        <v>384</v>
      </c>
      <c r="G41" s="5" t="s">
        <v>1472</v>
      </c>
    </row>
    <row r="42" spans="1:7">
      <c r="A42" s="12">
        <v>41</v>
      </c>
      <c r="B42" s="13" t="s">
        <v>1503</v>
      </c>
      <c r="C42" s="13" t="s">
        <v>8</v>
      </c>
      <c r="D42" s="13" t="s">
        <v>9</v>
      </c>
      <c r="E42" s="13" t="s">
        <v>317</v>
      </c>
      <c r="F42" s="13" t="s">
        <v>385</v>
      </c>
      <c r="G42" s="13" t="b">
        <v>1</v>
      </c>
    </row>
    <row r="43" spans="1:7">
      <c r="A43" s="4">
        <v>42</v>
      </c>
      <c r="B43" s="5" t="s">
        <v>1504</v>
      </c>
      <c r="C43" s="5" t="s">
        <v>87</v>
      </c>
      <c r="D43" s="5" t="s">
        <v>88</v>
      </c>
      <c r="E43" s="5" t="s">
        <v>317</v>
      </c>
      <c r="F43" s="5" t="s">
        <v>386</v>
      </c>
      <c r="G43" s="5" t="b">
        <v>1</v>
      </c>
    </row>
    <row r="44" spans="1:7">
      <c r="A44" s="12">
        <v>43</v>
      </c>
      <c r="B44" s="13" t="s">
        <v>1505</v>
      </c>
      <c r="C44" s="13" t="s">
        <v>388</v>
      </c>
      <c r="D44" s="13" t="s">
        <v>389</v>
      </c>
      <c r="E44" s="13" t="s">
        <v>317</v>
      </c>
      <c r="F44" s="13" t="s">
        <v>390</v>
      </c>
      <c r="G44" s="13"/>
    </row>
    <row r="45" spans="1:7">
      <c r="A45" s="4">
        <v>44</v>
      </c>
      <c r="B45" s="5" t="s">
        <v>1506</v>
      </c>
      <c r="C45" s="5" t="s">
        <v>392</v>
      </c>
      <c r="D45" s="5" t="s">
        <v>393</v>
      </c>
      <c r="E45" s="5" t="s">
        <v>317</v>
      </c>
      <c r="F45" s="5" t="s">
        <v>1507</v>
      </c>
      <c r="G45" s="5"/>
    </row>
    <row r="46" spans="1:7">
      <c r="A46" s="12">
        <v>45</v>
      </c>
      <c r="B46" s="13" t="s">
        <v>1508</v>
      </c>
      <c r="C46" s="13" t="s">
        <v>396</v>
      </c>
      <c r="D46" s="13" t="s">
        <v>397</v>
      </c>
      <c r="E46" s="13" t="s">
        <v>317</v>
      </c>
      <c r="F46" s="13" t="s">
        <v>398</v>
      </c>
      <c r="G46" s="13"/>
    </row>
    <row r="47" spans="1:7">
      <c r="A47" s="4">
        <v>46</v>
      </c>
      <c r="B47" s="5" t="s">
        <v>1509</v>
      </c>
      <c r="C47" s="5" t="s">
        <v>90</v>
      </c>
      <c r="D47" s="5" t="s">
        <v>91</v>
      </c>
      <c r="E47" s="5" t="s">
        <v>317</v>
      </c>
      <c r="F47" s="5" t="s">
        <v>399</v>
      </c>
      <c r="G47" s="5"/>
    </row>
    <row r="48" spans="1:7">
      <c r="A48" s="12">
        <v>47</v>
      </c>
      <c r="B48" s="13" t="s">
        <v>92</v>
      </c>
      <c r="C48" s="13" t="s">
        <v>93</v>
      </c>
      <c r="D48" s="13" t="s">
        <v>94</v>
      </c>
      <c r="E48" s="13" t="s">
        <v>317</v>
      </c>
      <c r="F48" s="13" t="s">
        <v>400</v>
      </c>
      <c r="G48" s="13" t="b">
        <v>1</v>
      </c>
    </row>
    <row r="49" spans="1:7">
      <c r="A49" s="4">
        <v>48</v>
      </c>
      <c r="B49" s="5" t="s">
        <v>1510</v>
      </c>
      <c r="C49" s="5" t="s">
        <v>96</v>
      </c>
      <c r="D49" s="5" t="s">
        <v>97</v>
      </c>
      <c r="E49" s="5" t="s">
        <v>317</v>
      </c>
      <c r="F49" s="5" t="s">
        <v>401</v>
      </c>
      <c r="G49" s="5" t="b">
        <v>1</v>
      </c>
    </row>
    <row r="50" spans="1:7">
      <c r="A50" s="12">
        <v>49</v>
      </c>
      <c r="B50" s="13" t="s">
        <v>1459</v>
      </c>
      <c r="C50" s="13" t="s">
        <v>13</v>
      </c>
      <c r="D50" s="13" t="s">
        <v>14</v>
      </c>
      <c r="E50" s="13" t="s">
        <v>317</v>
      </c>
      <c r="F50" s="13" t="s">
        <v>402</v>
      </c>
      <c r="G50" s="13" t="b">
        <v>1</v>
      </c>
    </row>
    <row r="51" spans="1:7">
      <c r="A51" s="4">
        <v>50</v>
      </c>
      <c r="B51" s="5" t="s">
        <v>1511</v>
      </c>
      <c r="C51" s="5" t="s">
        <v>99</v>
      </c>
      <c r="D51" s="5" t="s">
        <v>100</v>
      </c>
      <c r="E51" s="5" t="s">
        <v>317</v>
      </c>
      <c r="F51" s="5" t="s">
        <v>403</v>
      </c>
      <c r="G51" s="5" t="b">
        <v>1</v>
      </c>
    </row>
    <row r="52" spans="1:7">
      <c r="A52" s="12">
        <v>51</v>
      </c>
      <c r="B52" s="13" t="s">
        <v>1512</v>
      </c>
      <c r="C52" s="13" t="s">
        <v>102</v>
      </c>
      <c r="D52" s="13" t="s">
        <v>103</v>
      </c>
      <c r="E52" s="13" t="s">
        <v>317</v>
      </c>
      <c r="F52" s="13" t="s">
        <v>404</v>
      </c>
      <c r="G52" s="13" t="b">
        <v>1</v>
      </c>
    </row>
    <row r="53" spans="1:7">
      <c r="A53" s="4">
        <v>52</v>
      </c>
      <c r="B53" s="5" t="s">
        <v>405</v>
      </c>
      <c r="C53" s="5" t="s">
        <v>406</v>
      </c>
      <c r="D53" s="5" t="s">
        <v>407</v>
      </c>
      <c r="E53" s="5" t="s">
        <v>317</v>
      </c>
      <c r="F53" s="5" t="s">
        <v>408</v>
      </c>
      <c r="G53" s="5" t="b">
        <v>1</v>
      </c>
    </row>
    <row r="54" spans="1:7">
      <c r="A54" s="12">
        <v>53</v>
      </c>
      <c r="B54" s="13" t="s">
        <v>1513</v>
      </c>
      <c r="C54" s="13" t="s">
        <v>410</v>
      </c>
      <c r="D54" s="13" t="s">
        <v>411</v>
      </c>
      <c r="E54" s="13" t="s">
        <v>317</v>
      </c>
      <c r="F54" s="13" t="s">
        <v>412</v>
      </c>
      <c r="G54" s="13"/>
    </row>
    <row r="55" spans="1:7">
      <c r="A55" s="4">
        <v>54</v>
      </c>
      <c r="B55" s="5" t="s">
        <v>1514</v>
      </c>
      <c r="C55" s="5" t="s">
        <v>414</v>
      </c>
      <c r="D55" s="5" t="s">
        <v>414</v>
      </c>
      <c r="E55" s="5" t="s">
        <v>317</v>
      </c>
      <c r="F55" s="5" t="s">
        <v>415</v>
      </c>
      <c r="G55" s="5" t="b">
        <v>1</v>
      </c>
    </row>
    <row r="56" spans="1:7">
      <c r="A56" s="12">
        <v>55</v>
      </c>
      <c r="B56" s="13" t="s">
        <v>1515</v>
      </c>
      <c r="C56" s="13" t="s">
        <v>417</v>
      </c>
      <c r="D56" s="13" t="s">
        <v>418</v>
      </c>
      <c r="E56" s="13" t="s">
        <v>317</v>
      </c>
      <c r="F56" s="13" t="s">
        <v>419</v>
      </c>
      <c r="G56" s="13" t="b">
        <v>1</v>
      </c>
    </row>
    <row r="57" spans="1:7">
      <c r="A57" s="4">
        <v>56</v>
      </c>
      <c r="B57" s="5" t="s">
        <v>1516</v>
      </c>
      <c r="C57" s="5" t="s">
        <v>105</v>
      </c>
      <c r="D57" s="5" t="s">
        <v>106</v>
      </c>
      <c r="E57" s="5" t="s">
        <v>317</v>
      </c>
      <c r="F57" s="5" t="s">
        <v>420</v>
      </c>
      <c r="G57" s="5" t="b">
        <v>1</v>
      </c>
    </row>
    <row r="58" spans="1:7">
      <c r="A58" s="12">
        <v>57</v>
      </c>
      <c r="B58" s="13" t="s">
        <v>1517</v>
      </c>
      <c r="C58" s="13" t="s">
        <v>108</v>
      </c>
      <c r="D58" s="13" t="s">
        <v>109</v>
      </c>
      <c r="E58" s="13" t="s">
        <v>317</v>
      </c>
      <c r="F58" s="13" t="s">
        <v>421</v>
      </c>
      <c r="G58" s="13" t="b">
        <v>1</v>
      </c>
    </row>
    <row r="59" spans="1:7">
      <c r="A59" s="4">
        <v>58</v>
      </c>
      <c r="B59" s="5" t="s">
        <v>1518</v>
      </c>
      <c r="C59" s="5" t="s">
        <v>111</v>
      </c>
      <c r="D59" s="5" t="s">
        <v>112</v>
      </c>
      <c r="E59" s="5" t="s">
        <v>317</v>
      </c>
      <c r="F59" s="5" t="s">
        <v>422</v>
      </c>
      <c r="G59" s="5" t="b">
        <v>1</v>
      </c>
    </row>
    <row r="60" spans="1:7">
      <c r="A60" s="12">
        <v>59</v>
      </c>
      <c r="B60" s="13" t="s">
        <v>1519</v>
      </c>
      <c r="C60" s="13" t="s">
        <v>114</v>
      </c>
      <c r="D60" s="13" t="s">
        <v>115</v>
      </c>
      <c r="E60" s="13" t="s">
        <v>317</v>
      </c>
      <c r="F60" s="13" t="s">
        <v>423</v>
      </c>
      <c r="G60" s="13" t="b">
        <v>1</v>
      </c>
    </row>
    <row r="61" spans="1:7">
      <c r="A61" s="4">
        <v>60</v>
      </c>
      <c r="B61" s="5" t="s">
        <v>1520</v>
      </c>
      <c r="C61" s="5" t="s">
        <v>117</v>
      </c>
      <c r="D61" s="5" t="s">
        <v>118</v>
      </c>
      <c r="E61" s="5" t="s">
        <v>317</v>
      </c>
      <c r="F61" s="5" t="s">
        <v>424</v>
      </c>
      <c r="G61" s="5" t="b">
        <v>1</v>
      </c>
    </row>
    <row r="62" spans="1:7">
      <c r="A62" s="12">
        <v>61</v>
      </c>
      <c r="B62" s="13" t="s">
        <v>1521</v>
      </c>
      <c r="C62" s="13" t="s">
        <v>120</v>
      </c>
      <c r="D62" s="13" t="s">
        <v>121</v>
      </c>
      <c r="E62" s="13" t="s">
        <v>317</v>
      </c>
      <c r="F62" s="13" t="s">
        <v>425</v>
      </c>
      <c r="G62" s="13" t="b">
        <v>1</v>
      </c>
    </row>
    <row r="63" spans="1:7">
      <c r="A63" s="4">
        <v>62</v>
      </c>
      <c r="B63" s="5" t="s">
        <v>1522</v>
      </c>
      <c r="C63" s="5" t="s">
        <v>123</v>
      </c>
      <c r="D63" s="5" t="s">
        <v>124</v>
      </c>
      <c r="E63" s="5" t="s">
        <v>317</v>
      </c>
      <c r="F63" s="5" t="s">
        <v>426</v>
      </c>
      <c r="G63" s="5" t="b">
        <v>1</v>
      </c>
    </row>
    <row r="64" spans="1:7">
      <c r="A64" s="12">
        <v>63</v>
      </c>
      <c r="B64" s="13" t="s">
        <v>1523</v>
      </c>
      <c r="C64" s="13" t="s">
        <v>126</v>
      </c>
      <c r="D64" s="13" t="s">
        <v>126</v>
      </c>
      <c r="E64" s="13" t="s">
        <v>317</v>
      </c>
      <c r="F64" s="13" t="s">
        <v>427</v>
      </c>
      <c r="G64" s="13" t="s">
        <v>1472</v>
      </c>
    </row>
    <row r="65" spans="1:7">
      <c r="A65" s="4">
        <v>64</v>
      </c>
      <c r="B65" s="5" t="s">
        <v>1464</v>
      </c>
      <c r="C65" s="5" t="s">
        <v>128</v>
      </c>
      <c r="D65" s="5" t="s">
        <v>129</v>
      </c>
      <c r="E65" s="5" t="s">
        <v>317</v>
      </c>
      <c r="F65" s="5" t="s">
        <v>428</v>
      </c>
      <c r="G65" s="5" t="b">
        <v>1</v>
      </c>
    </row>
    <row r="66" spans="1:7">
      <c r="A66" s="12">
        <v>65</v>
      </c>
      <c r="B66" s="13" t="s">
        <v>1524</v>
      </c>
      <c r="C66" s="13" t="s">
        <v>132</v>
      </c>
      <c r="D66" s="13" t="s">
        <v>133</v>
      </c>
      <c r="E66" s="13" t="s">
        <v>317</v>
      </c>
      <c r="F66" s="13" t="s">
        <v>429</v>
      </c>
      <c r="G66" s="13" t="b">
        <v>1</v>
      </c>
    </row>
    <row r="67" spans="1:7">
      <c r="A67" s="4">
        <v>66</v>
      </c>
      <c r="B67" s="5" t="s">
        <v>1525</v>
      </c>
      <c r="C67" s="5" t="s">
        <v>135</v>
      </c>
      <c r="D67" s="5" t="s">
        <v>136</v>
      </c>
      <c r="E67" s="5" t="s">
        <v>317</v>
      </c>
      <c r="F67" s="5" t="s">
        <v>430</v>
      </c>
      <c r="G67" s="5"/>
    </row>
    <row r="68" spans="1:7">
      <c r="A68" s="12">
        <v>67</v>
      </c>
      <c r="B68" s="13" t="s">
        <v>1526</v>
      </c>
      <c r="C68" s="13" t="s">
        <v>138</v>
      </c>
      <c r="D68" s="13" t="s">
        <v>138</v>
      </c>
      <c r="E68" s="13" t="s">
        <v>317</v>
      </c>
      <c r="F68" s="13" t="s">
        <v>431</v>
      </c>
      <c r="G68" s="13" t="b">
        <v>1</v>
      </c>
    </row>
    <row r="69" spans="1:7">
      <c r="A69" s="4">
        <v>68</v>
      </c>
      <c r="B69" s="5" t="s">
        <v>1527</v>
      </c>
      <c r="C69" s="5" t="s">
        <v>140</v>
      </c>
      <c r="D69" s="5" t="s">
        <v>141</v>
      </c>
      <c r="E69" s="5" t="s">
        <v>317</v>
      </c>
      <c r="F69" s="5" t="s">
        <v>432</v>
      </c>
      <c r="G69" s="5" t="b">
        <v>1</v>
      </c>
    </row>
    <row r="70" spans="1:7">
      <c r="A70" s="12">
        <v>69</v>
      </c>
      <c r="B70" s="13" t="s">
        <v>1528</v>
      </c>
      <c r="C70" s="13" t="s">
        <v>434</v>
      </c>
      <c r="D70" s="13" t="s">
        <v>435</v>
      </c>
      <c r="E70" s="13" t="s">
        <v>317</v>
      </c>
      <c r="F70" s="13" t="s">
        <v>436</v>
      </c>
      <c r="G70" s="13" t="b">
        <v>1</v>
      </c>
    </row>
    <row r="71" spans="1:7">
      <c r="A71" s="4">
        <v>70</v>
      </c>
      <c r="B71" s="5" t="s">
        <v>1529</v>
      </c>
      <c r="C71" s="5" t="s">
        <v>143</v>
      </c>
      <c r="D71" s="5" t="s">
        <v>144</v>
      </c>
      <c r="E71" s="5" t="s">
        <v>317</v>
      </c>
      <c r="F71" s="5" t="s">
        <v>437</v>
      </c>
      <c r="G71" s="5" t="b">
        <v>1</v>
      </c>
    </row>
    <row r="72" spans="1:7">
      <c r="A72" s="12">
        <v>71</v>
      </c>
      <c r="B72" s="13" t="s">
        <v>1530</v>
      </c>
      <c r="C72" s="13" t="s">
        <v>439</v>
      </c>
      <c r="D72" s="13" t="s">
        <v>440</v>
      </c>
      <c r="E72" s="13" t="s">
        <v>317</v>
      </c>
      <c r="F72" s="13" t="s">
        <v>441</v>
      </c>
      <c r="G72" s="13" t="s">
        <v>1472</v>
      </c>
    </row>
    <row r="73" spans="1:7">
      <c r="A73" s="4">
        <v>72</v>
      </c>
      <c r="B73" s="5" t="s">
        <v>1465</v>
      </c>
      <c r="C73" s="5" t="s">
        <v>146</v>
      </c>
      <c r="D73" s="5" t="s">
        <v>147</v>
      </c>
      <c r="E73" s="5" t="s">
        <v>317</v>
      </c>
      <c r="F73" s="5" t="s">
        <v>442</v>
      </c>
      <c r="G73" s="5" t="b">
        <v>1</v>
      </c>
    </row>
    <row r="74" spans="1:7">
      <c r="A74" s="12">
        <v>73</v>
      </c>
      <c r="B74" s="13" t="s">
        <v>149</v>
      </c>
      <c r="C74" s="13" t="s">
        <v>150</v>
      </c>
      <c r="D74" s="13" t="s">
        <v>151</v>
      </c>
      <c r="E74" s="13" t="s">
        <v>317</v>
      </c>
      <c r="F74" s="13" t="s">
        <v>443</v>
      </c>
      <c r="G74" s="13" t="b">
        <v>1</v>
      </c>
    </row>
    <row r="75" spans="1:7">
      <c r="A75" s="4">
        <v>74</v>
      </c>
      <c r="B75" s="5" t="s">
        <v>1531</v>
      </c>
      <c r="C75" s="5" t="s">
        <v>445</v>
      </c>
      <c r="D75" s="5" t="s">
        <v>446</v>
      </c>
      <c r="E75" s="5" t="s">
        <v>317</v>
      </c>
      <c r="F75" s="5" t="s">
        <v>447</v>
      </c>
      <c r="G75" s="5"/>
    </row>
    <row r="76" spans="1:7">
      <c r="A76" s="12">
        <v>75</v>
      </c>
      <c r="B76" s="13" t="s">
        <v>1466</v>
      </c>
      <c r="C76" s="13" t="s">
        <v>153</v>
      </c>
      <c r="D76" s="13" t="s">
        <v>154</v>
      </c>
      <c r="E76" s="13" t="s">
        <v>317</v>
      </c>
      <c r="F76" s="13" t="s">
        <v>448</v>
      </c>
      <c r="G76" s="13" t="s">
        <v>1472</v>
      </c>
    </row>
    <row r="77" spans="1:7">
      <c r="A77" s="4">
        <v>76</v>
      </c>
      <c r="B77" s="5" t="s">
        <v>1532</v>
      </c>
      <c r="C77" s="5" t="s">
        <v>157</v>
      </c>
      <c r="D77" s="5" t="s">
        <v>157</v>
      </c>
      <c r="E77" s="5" t="s">
        <v>317</v>
      </c>
      <c r="F77" s="5" t="s">
        <v>449</v>
      </c>
      <c r="G77" s="5" t="b">
        <v>1</v>
      </c>
    </row>
    <row r="78" spans="1:7">
      <c r="A78" s="12">
        <v>77</v>
      </c>
      <c r="B78" s="13" t="s">
        <v>1533</v>
      </c>
      <c r="C78" s="13" t="s">
        <v>451</v>
      </c>
      <c r="D78" s="13" t="s">
        <v>452</v>
      </c>
      <c r="E78" s="13" t="s">
        <v>317</v>
      </c>
      <c r="F78" s="13" t="s">
        <v>453</v>
      </c>
      <c r="G78" s="13" t="b">
        <v>1</v>
      </c>
    </row>
    <row r="79" spans="1:7">
      <c r="A79" s="4">
        <v>78</v>
      </c>
      <c r="B79" s="5" t="s">
        <v>1534</v>
      </c>
      <c r="C79" s="5" t="s">
        <v>455</v>
      </c>
      <c r="D79" s="5" t="s">
        <v>456</v>
      </c>
      <c r="E79" s="5" t="s">
        <v>317</v>
      </c>
      <c r="F79" s="5" t="s">
        <v>457</v>
      </c>
      <c r="G79" s="5"/>
    </row>
    <row r="80" spans="1:7">
      <c r="A80" s="12">
        <v>79</v>
      </c>
      <c r="B80" s="13" t="s">
        <v>1535</v>
      </c>
      <c r="C80" s="13" t="s">
        <v>159</v>
      </c>
      <c r="D80" s="13" t="s">
        <v>160</v>
      </c>
      <c r="E80" s="13" t="s">
        <v>317</v>
      </c>
      <c r="F80" s="13" t="s">
        <v>458</v>
      </c>
      <c r="G80" s="13" t="b">
        <v>1</v>
      </c>
    </row>
    <row r="81" spans="1:7">
      <c r="A81" s="4">
        <v>80</v>
      </c>
      <c r="B81" s="5" t="s">
        <v>1536</v>
      </c>
      <c r="C81" s="5" t="s">
        <v>162</v>
      </c>
      <c r="D81" s="5" t="s">
        <v>162</v>
      </c>
      <c r="E81" s="5" t="s">
        <v>317</v>
      </c>
      <c r="F81" s="5" t="s">
        <v>459</v>
      </c>
      <c r="G81" s="5" t="b">
        <v>1</v>
      </c>
    </row>
    <row r="82" spans="1:7">
      <c r="A82" s="12">
        <v>81</v>
      </c>
      <c r="B82" s="13" t="s">
        <v>1537</v>
      </c>
      <c r="C82" s="13" t="s">
        <v>461</v>
      </c>
      <c r="D82" s="13" t="s">
        <v>462</v>
      </c>
      <c r="E82" s="13" t="s">
        <v>317</v>
      </c>
      <c r="F82" s="13" t="s">
        <v>463</v>
      </c>
      <c r="G82" s="13" t="b">
        <v>1</v>
      </c>
    </row>
    <row r="83" spans="1:7">
      <c r="A83" s="4">
        <v>82</v>
      </c>
      <c r="B83" s="5" t="s">
        <v>1538</v>
      </c>
      <c r="C83" s="5" t="s">
        <v>465</v>
      </c>
      <c r="D83" s="5" t="s">
        <v>466</v>
      </c>
      <c r="E83" s="5" t="s">
        <v>317</v>
      </c>
      <c r="F83" s="5" t="s">
        <v>467</v>
      </c>
      <c r="G83" s="5" t="b">
        <v>1</v>
      </c>
    </row>
    <row r="84" spans="1:7">
      <c r="A84" s="12">
        <v>83</v>
      </c>
      <c r="B84" s="13" t="s">
        <v>1539</v>
      </c>
      <c r="C84" s="13" t="s">
        <v>469</v>
      </c>
      <c r="D84" s="13" t="s">
        <v>470</v>
      </c>
      <c r="E84" s="13" t="s">
        <v>317</v>
      </c>
      <c r="F84" s="13" t="s">
        <v>471</v>
      </c>
      <c r="G84" s="13" t="b">
        <v>1</v>
      </c>
    </row>
    <row r="85" spans="1:7">
      <c r="A85" s="4">
        <v>84</v>
      </c>
      <c r="B85" s="5" t="s">
        <v>1540</v>
      </c>
      <c r="C85" s="5" t="s">
        <v>164</v>
      </c>
      <c r="D85" s="5" t="s">
        <v>165</v>
      </c>
      <c r="E85" s="5" t="s">
        <v>317</v>
      </c>
      <c r="F85" s="5" t="s">
        <v>472</v>
      </c>
      <c r="G85" s="5" t="b">
        <v>1</v>
      </c>
    </row>
    <row r="86" spans="1:7">
      <c r="A86" s="12">
        <v>85</v>
      </c>
      <c r="B86" s="13" t="s">
        <v>1467</v>
      </c>
      <c r="C86" s="13" t="s">
        <v>167</v>
      </c>
      <c r="D86" s="13" t="s">
        <v>168</v>
      </c>
      <c r="E86" s="13" t="s">
        <v>317</v>
      </c>
      <c r="F86" s="13" t="s">
        <v>473</v>
      </c>
      <c r="G86" s="13" t="b">
        <v>1</v>
      </c>
    </row>
    <row r="87" spans="1:7">
      <c r="A87" s="4">
        <v>86</v>
      </c>
      <c r="B87" s="5" t="s">
        <v>1541</v>
      </c>
      <c r="C87" s="5" t="s">
        <v>171</v>
      </c>
      <c r="D87" s="5" t="s">
        <v>172</v>
      </c>
      <c r="E87" s="5" t="s">
        <v>317</v>
      </c>
      <c r="F87" s="5" t="s">
        <v>474</v>
      </c>
      <c r="G87" s="5" t="b">
        <v>1</v>
      </c>
    </row>
    <row r="88" spans="1:7">
      <c r="A88" s="12">
        <v>87</v>
      </c>
      <c r="B88" s="13" t="s">
        <v>1542</v>
      </c>
      <c r="C88" s="13" t="s">
        <v>174</v>
      </c>
      <c r="D88" s="13" t="s">
        <v>175</v>
      </c>
      <c r="E88" s="13" t="s">
        <v>317</v>
      </c>
      <c r="F88" s="13" t="s">
        <v>475</v>
      </c>
      <c r="G88" s="13"/>
    </row>
    <row r="89" spans="1:7">
      <c r="A89" s="4">
        <v>88</v>
      </c>
      <c r="B89" s="5" t="s">
        <v>1543</v>
      </c>
      <c r="C89" s="5" t="s">
        <v>177</v>
      </c>
      <c r="D89" s="5" t="s">
        <v>178</v>
      </c>
      <c r="E89" s="5" t="s">
        <v>317</v>
      </c>
      <c r="F89" s="5" t="s">
        <v>476</v>
      </c>
      <c r="G89" s="5" t="b">
        <v>1</v>
      </c>
    </row>
    <row r="90" spans="1:7">
      <c r="A90" s="12">
        <v>89</v>
      </c>
      <c r="B90" s="13" t="s">
        <v>1544</v>
      </c>
      <c r="C90" s="13" t="s">
        <v>180</v>
      </c>
      <c r="D90" s="13" t="s">
        <v>181</v>
      </c>
      <c r="E90" s="13" t="s">
        <v>317</v>
      </c>
      <c r="F90" s="13" t="s">
        <v>477</v>
      </c>
      <c r="G90" s="13" t="b">
        <v>1</v>
      </c>
    </row>
    <row r="91" spans="1:7">
      <c r="A91" s="4">
        <v>90</v>
      </c>
      <c r="B91" s="5" t="s">
        <v>1545</v>
      </c>
      <c r="C91" s="5" t="s">
        <v>183</v>
      </c>
      <c r="D91" s="5" t="s">
        <v>184</v>
      </c>
      <c r="E91" s="5" t="s">
        <v>317</v>
      </c>
      <c r="F91" s="5" t="s">
        <v>478</v>
      </c>
      <c r="G91" s="5" t="b">
        <v>1</v>
      </c>
    </row>
    <row r="92" spans="1:7">
      <c r="A92" s="12">
        <v>91</v>
      </c>
      <c r="B92" s="13" t="s">
        <v>1546</v>
      </c>
      <c r="C92" s="13" t="s">
        <v>480</v>
      </c>
      <c r="D92" s="13" t="s">
        <v>481</v>
      </c>
      <c r="E92" s="13" t="s">
        <v>317</v>
      </c>
      <c r="F92" s="13" t="s">
        <v>482</v>
      </c>
      <c r="G92" s="13"/>
    </row>
    <row r="93" spans="1:7">
      <c r="A93" s="4">
        <v>92</v>
      </c>
      <c r="B93" s="5" t="s">
        <v>1547</v>
      </c>
      <c r="C93" s="5" t="s">
        <v>186</v>
      </c>
      <c r="D93" s="5" t="s">
        <v>187</v>
      </c>
      <c r="E93" s="5" t="s">
        <v>317</v>
      </c>
      <c r="F93" s="5" t="s">
        <v>483</v>
      </c>
      <c r="G93" s="5"/>
    </row>
    <row r="94" spans="1:7">
      <c r="A94" s="12">
        <v>93</v>
      </c>
      <c r="B94" s="13" t="s">
        <v>1548</v>
      </c>
      <c r="C94" s="13" t="s">
        <v>189</v>
      </c>
      <c r="D94" s="13" t="s">
        <v>190</v>
      </c>
      <c r="E94" s="13" t="s">
        <v>317</v>
      </c>
      <c r="F94" s="13" t="s">
        <v>484</v>
      </c>
      <c r="G94" s="13"/>
    </row>
    <row r="95" spans="1:7">
      <c r="A95" s="4">
        <v>94</v>
      </c>
      <c r="B95" s="5" t="s">
        <v>1549</v>
      </c>
      <c r="C95" s="5" t="s">
        <v>486</v>
      </c>
      <c r="D95" s="5" t="s">
        <v>487</v>
      </c>
      <c r="E95" s="5" t="s">
        <v>317</v>
      </c>
      <c r="F95" s="5" t="s">
        <v>488</v>
      </c>
      <c r="G95" s="5" t="s">
        <v>1472</v>
      </c>
    </row>
    <row r="96" spans="1:7">
      <c r="A96" s="12">
        <v>95</v>
      </c>
      <c r="B96" s="13" t="s">
        <v>1550</v>
      </c>
      <c r="C96" s="13" t="s">
        <v>490</v>
      </c>
      <c r="D96" s="13" t="s">
        <v>491</v>
      </c>
      <c r="E96" s="13" t="s">
        <v>317</v>
      </c>
      <c r="F96" s="13" t="s">
        <v>492</v>
      </c>
      <c r="G96" s="13" t="b">
        <v>1</v>
      </c>
    </row>
    <row r="97" spans="1:7">
      <c r="A97" s="4">
        <v>96</v>
      </c>
      <c r="B97" s="5" t="s">
        <v>1551</v>
      </c>
      <c r="C97" s="5" t="s">
        <v>192</v>
      </c>
      <c r="D97" s="5" t="s">
        <v>193</v>
      </c>
      <c r="E97" s="5" t="s">
        <v>317</v>
      </c>
      <c r="F97" s="5" t="s">
        <v>493</v>
      </c>
      <c r="G97" s="5" t="s">
        <v>1472</v>
      </c>
    </row>
    <row r="98" spans="1:7">
      <c r="A98" s="12">
        <v>97</v>
      </c>
      <c r="B98" s="13" t="s">
        <v>1552</v>
      </c>
      <c r="C98" s="13" t="s">
        <v>495</v>
      </c>
      <c r="D98" s="13" t="s">
        <v>496</v>
      </c>
      <c r="E98" s="13" t="s">
        <v>317</v>
      </c>
      <c r="F98" s="13" t="s">
        <v>497</v>
      </c>
      <c r="G98" s="13" t="b">
        <v>1</v>
      </c>
    </row>
    <row r="99" spans="1:7">
      <c r="A99" s="4">
        <v>98</v>
      </c>
      <c r="B99" s="5" t="s">
        <v>1553</v>
      </c>
      <c r="C99" s="5" t="s">
        <v>499</v>
      </c>
      <c r="D99" s="5" t="s">
        <v>500</v>
      </c>
      <c r="E99" s="5" t="s">
        <v>317</v>
      </c>
      <c r="F99" s="5" t="s">
        <v>501</v>
      </c>
      <c r="G99" s="5" t="s">
        <v>1472</v>
      </c>
    </row>
    <row r="100" spans="1:7">
      <c r="A100" s="12">
        <v>99</v>
      </c>
      <c r="B100" s="13" t="s">
        <v>1554</v>
      </c>
      <c r="C100" s="13" t="s">
        <v>195</v>
      </c>
      <c r="D100" s="13" t="s">
        <v>196</v>
      </c>
      <c r="E100" s="13" t="s">
        <v>317</v>
      </c>
      <c r="F100" s="13" t="s">
        <v>502</v>
      </c>
      <c r="G100" s="13" t="b">
        <v>1</v>
      </c>
    </row>
    <row r="101" spans="1:7">
      <c r="A101" s="4">
        <v>100</v>
      </c>
      <c r="B101" s="5" t="s">
        <v>1461</v>
      </c>
      <c r="C101" s="5" t="s">
        <v>18</v>
      </c>
      <c r="D101" s="5" t="s">
        <v>18</v>
      </c>
      <c r="E101" s="5" t="s">
        <v>317</v>
      </c>
      <c r="F101" s="5" t="s">
        <v>503</v>
      </c>
      <c r="G101" s="5" t="b">
        <v>1</v>
      </c>
    </row>
    <row r="102" spans="1:7">
      <c r="A102" s="12">
        <v>101</v>
      </c>
      <c r="B102" s="13" t="s">
        <v>1555</v>
      </c>
      <c r="C102" s="13" t="s">
        <v>198</v>
      </c>
      <c r="D102" s="13" t="s">
        <v>198</v>
      </c>
      <c r="E102" s="13" t="s">
        <v>317</v>
      </c>
      <c r="F102" s="13" t="s">
        <v>504</v>
      </c>
      <c r="G102" s="13"/>
    </row>
    <row r="103" spans="1:7">
      <c r="A103" s="4">
        <v>102</v>
      </c>
      <c r="B103" s="5" t="s">
        <v>1556</v>
      </c>
      <c r="C103" s="5" t="s">
        <v>506</v>
      </c>
      <c r="D103" s="5" t="s">
        <v>507</v>
      </c>
      <c r="E103" s="5" t="s">
        <v>317</v>
      </c>
      <c r="F103" s="5" t="s">
        <v>508</v>
      </c>
      <c r="G103" s="5"/>
    </row>
    <row r="104" spans="1:7">
      <c r="A104" s="12">
        <v>103</v>
      </c>
      <c r="B104" s="13" t="s">
        <v>1557</v>
      </c>
      <c r="C104" s="13" t="s">
        <v>200</v>
      </c>
      <c r="D104" s="13" t="s">
        <v>201</v>
      </c>
      <c r="E104" s="13" t="s">
        <v>317</v>
      </c>
      <c r="F104" s="13" t="s">
        <v>509</v>
      </c>
      <c r="G104" s="13" t="b">
        <v>1</v>
      </c>
    </row>
    <row r="105" spans="1:7">
      <c r="A105" s="4">
        <v>104</v>
      </c>
      <c r="B105" s="5" t="s">
        <v>1558</v>
      </c>
      <c r="C105" s="5" t="s">
        <v>511</v>
      </c>
      <c r="D105" s="5" t="s">
        <v>512</v>
      </c>
      <c r="E105" s="5" t="s">
        <v>317</v>
      </c>
      <c r="F105" s="5" t="s">
        <v>513</v>
      </c>
      <c r="G105" s="5"/>
    </row>
    <row r="106" spans="1:7">
      <c r="A106" s="12">
        <v>105</v>
      </c>
      <c r="B106" s="13" t="s">
        <v>1559</v>
      </c>
      <c r="C106" s="13" t="s">
        <v>203</v>
      </c>
      <c r="D106" s="13" t="s">
        <v>204</v>
      </c>
      <c r="E106" s="13" t="s">
        <v>317</v>
      </c>
      <c r="F106" s="13" t="s">
        <v>514</v>
      </c>
      <c r="G106" s="13"/>
    </row>
    <row r="107" spans="1:7">
      <c r="A107" s="4">
        <v>106</v>
      </c>
      <c r="B107" s="5" t="s">
        <v>1560</v>
      </c>
      <c r="C107" s="5" t="s">
        <v>206</v>
      </c>
      <c r="D107" s="5" t="s">
        <v>207</v>
      </c>
      <c r="E107" s="5" t="s">
        <v>317</v>
      </c>
      <c r="F107" s="5" t="s">
        <v>515</v>
      </c>
      <c r="G107" s="5" t="b">
        <v>1</v>
      </c>
    </row>
    <row r="108" spans="1:7">
      <c r="A108" s="12">
        <v>107</v>
      </c>
      <c r="B108" s="13" t="s">
        <v>1561</v>
      </c>
      <c r="C108" s="13" t="s">
        <v>209</v>
      </c>
      <c r="D108" s="13" t="s">
        <v>210</v>
      </c>
      <c r="E108" s="13" t="s">
        <v>317</v>
      </c>
      <c r="F108" s="13" t="s">
        <v>516</v>
      </c>
      <c r="G108" s="13" t="b">
        <v>1</v>
      </c>
    </row>
    <row r="109" spans="1:7">
      <c r="A109" s="4">
        <v>108</v>
      </c>
      <c r="B109" s="5" t="s">
        <v>1562</v>
      </c>
      <c r="C109" s="5" t="s">
        <v>212</v>
      </c>
      <c r="D109" s="5" t="s">
        <v>213</v>
      </c>
      <c r="E109" s="5" t="s">
        <v>317</v>
      </c>
      <c r="F109" s="5" t="s">
        <v>517</v>
      </c>
      <c r="G109" s="5" t="b">
        <v>1</v>
      </c>
    </row>
    <row r="110" spans="1:7">
      <c r="A110" s="12">
        <v>109</v>
      </c>
      <c r="B110" s="13" t="s">
        <v>1563</v>
      </c>
      <c r="C110" s="13" t="s">
        <v>215</v>
      </c>
      <c r="D110" s="13" t="s">
        <v>216</v>
      </c>
      <c r="E110" s="13" t="s">
        <v>317</v>
      </c>
      <c r="F110" s="13" t="s">
        <v>518</v>
      </c>
      <c r="G110" s="13" t="b">
        <v>1</v>
      </c>
    </row>
    <row r="111" spans="1:7">
      <c r="A111" s="4">
        <v>110</v>
      </c>
      <c r="B111" s="5" t="s">
        <v>1564</v>
      </c>
      <c r="C111" s="5" t="s">
        <v>218</v>
      </c>
      <c r="D111" s="5" t="s">
        <v>219</v>
      </c>
      <c r="E111" s="5" t="s">
        <v>317</v>
      </c>
      <c r="F111" s="5" t="s">
        <v>519</v>
      </c>
      <c r="G111" s="5" t="s">
        <v>1565</v>
      </c>
    </row>
    <row r="112" spans="1:7">
      <c r="A112" s="12">
        <v>111</v>
      </c>
      <c r="B112" s="13" t="s">
        <v>1566</v>
      </c>
      <c r="C112" s="13" t="s">
        <v>521</v>
      </c>
      <c r="D112" s="13" t="s">
        <v>522</v>
      </c>
      <c r="E112" s="13" t="s">
        <v>317</v>
      </c>
      <c r="F112" s="13" t="s">
        <v>523</v>
      </c>
      <c r="G112" s="13"/>
    </row>
    <row r="113" spans="1:7">
      <c r="A113" s="4">
        <v>112</v>
      </c>
      <c r="B113" s="5" t="s">
        <v>1567</v>
      </c>
      <c r="C113" s="5" t="s">
        <v>525</v>
      </c>
      <c r="D113" s="5" t="s">
        <v>526</v>
      </c>
      <c r="E113" s="5" t="s">
        <v>317</v>
      </c>
      <c r="F113" s="5" t="s">
        <v>527</v>
      </c>
      <c r="G113" s="5" t="b">
        <v>1</v>
      </c>
    </row>
    <row r="114" spans="1:7">
      <c r="A114" s="12">
        <v>113</v>
      </c>
      <c r="B114" s="13" t="s">
        <v>1567</v>
      </c>
      <c r="C114" s="13" t="s">
        <v>525</v>
      </c>
      <c r="D114" s="13" t="s">
        <v>526</v>
      </c>
      <c r="E114" s="13" t="s">
        <v>317</v>
      </c>
      <c r="F114" s="13" t="s">
        <v>528</v>
      </c>
      <c r="G114" s="13"/>
    </row>
    <row r="115" spans="1:7">
      <c r="A115" s="4">
        <v>114</v>
      </c>
      <c r="B115" s="5" t="s">
        <v>1568</v>
      </c>
      <c r="C115" s="5" t="s">
        <v>221</v>
      </c>
      <c r="D115" s="5" t="s">
        <v>222</v>
      </c>
      <c r="E115" s="5" t="s">
        <v>317</v>
      </c>
      <c r="F115" s="5" t="s">
        <v>529</v>
      </c>
      <c r="G115" s="5" t="b">
        <v>1</v>
      </c>
    </row>
    <row r="116" spans="1:7">
      <c r="A116" s="12">
        <v>115</v>
      </c>
      <c r="B116" s="13" t="s">
        <v>1569</v>
      </c>
      <c r="C116" s="13" t="s">
        <v>531</v>
      </c>
      <c r="D116" s="13" t="s">
        <v>532</v>
      </c>
      <c r="E116" s="13" t="s">
        <v>317</v>
      </c>
      <c r="F116" s="13" t="s">
        <v>533</v>
      </c>
      <c r="G116" s="13" t="b">
        <v>1</v>
      </c>
    </row>
    <row r="117" spans="1:7">
      <c r="A117" s="4">
        <v>116</v>
      </c>
      <c r="B117" s="5" t="s">
        <v>1570</v>
      </c>
      <c r="C117" s="5" t="s">
        <v>535</v>
      </c>
      <c r="D117" s="5" t="s">
        <v>536</v>
      </c>
      <c r="E117" s="5" t="s">
        <v>317</v>
      </c>
      <c r="F117" s="5" t="s">
        <v>537</v>
      </c>
      <c r="G117" s="5"/>
    </row>
    <row r="118" spans="1:7">
      <c r="A118" s="12">
        <v>117</v>
      </c>
      <c r="B118" s="13" t="s">
        <v>1571</v>
      </c>
      <c r="C118" s="13" t="s">
        <v>224</v>
      </c>
      <c r="D118" s="13" t="s">
        <v>225</v>
      </c>
      <c r="E118" s="13" t="s">
        <v>317</v>
      </c>
      <c r="F118" s="13" t="s">
        <v>538</v>
      </c>
      <c r="G118" s="13" t="b">
        <v>1</v>
      </c>
    </row>
    <row r="119" spans="1:7">
      <c r="A119" s="4">
        <v>118</v>
      </c>
      <c r="B119" s="5" t="s">
        <v>1572</v>
      </c>
      <c r="C119" s="5" t="s">
        <v>227</v>
      </c>
      <c r="D119" s="5" t="s">
        <v>228</v>
      </c>
      <c r="E119" s="5" t="s">
        <v>317</v>
      </c>
      <c r="F119" s="5" t="s">
        <v>539</v>
      </c>
      <c r="G119" s="5" t="b">
        <v>1</v>
      </c>
    </row>
    <row r="120" spans="1:7">
      <c r="A120" s="12">
        <v>119</v>
      </c>
      <c r="B120" s="13" t="s">
        <v>1573</v>
      </c>
      <c r="C120" s="13" t="s">
        <v>541</v>
      </c>
      <c r="D120" s="13" t="s">
        <v>542</v>
      </c>
      <c r="E120" s="13" t="s">
        <v>317</v>
      </c>
      <c r="F120" s="13" t="s">
        <v>543</v>
      </c>
      <c r="G120" s="13" t="b">
        <v>1</v>
      </c>
    </row>
    <row r="121" spans="1:7">
      <c r="A121" s="4">
        <v>120</v>
      </c>
      <c r="B121" s="5" t="s">
        <v>1463</v>
      </c>
      <c r="C121" s="5" t="s">
        <v>22</v>
      </c>
      <c r="D121" s="5" t="s">
        <v>23</v>
      </c>
      <c r="E121" s="5" t="s">
        <v>317</v>
      </c>
      <c r="F121" s="5" t="s">
        <v>544</v>
      </c>
      <c r="G121" s="5" t="b">
        <v>1</v>
      </c>
    </row>
    <row r="122" spans="1:7">
      <c r="A122" s="12">
        <v>121</v>
      </c>
      <c r="B122" s="13" t="s">
        <v>1574</v>
      </c>
      <c r="C122" s="13" t="s">
        <v>230</v>
      </c>
      <c r="D122" s="13" t="s">
        <v>231</v>
      </c>
      <c r="E122" s="13" t="s">
        <v>317</v>
      </c>
      <c r="F122" s="13" t="s">
        <v>545</v>
      </c>
      <c r="G122" s="13" t="b">
        <v>1</v>
      </c>
    </row>
    <row r="123" spans="1:7">
      <c r="A123" s="4">
        <v>122</v>
      </c>
      <c r="B123" s="5" t="s">
        <v>1575</v>
      </c>
      <c r="C123" s="5" t="s">
        <v>547</v>
      </c>
      <c r="D123" s="5" t="s">
        <v>548</v>
      </c>
      <c r="E123" s="5" t="s">
        <v>317</v>
      </c>
      <c r="F123" s="5" t="s">
        <v>549</v>
      </c>
      <c r="G123" s="5" t="b">
        <v>1</v>
      </c>
    </row>
    <row r="124" spans="1:7">
      <c r="A124" s="12">
        <v>123</v>
      </c>
      <c r="B124" s="13" t="s">
        <v>1576</v>
      </c>
      <c r="C124" s="13" t="s">
        <v>551</v>
      </c>
      <c r="D124" s="13" t="s">
        <v>552</v>
      </c>
      <c r="E124" s="13" t="s">
        <v>317</v>
      </c>
      <c r="F124" s="13" t="s">
        <v>553</v>
      </c>
      <c r="G124" s="13"/>
    </row>
    <row r="125" spans="1:7">
      <c r="A125" s="4">
        <v>124</v>
      </c>
      <c r="B125" s="5" t="s">
        <v>1577</v>
      </c>
      <c r="C125" s="5" t="s">
        <v>233</v>
      </c>
      <c r="D125" s="5" t="s">
        <v>234</v>
      </c>
      <c r="E125" s="5" t="s">
        <v>317</v>
      </c>
      <c r="F125" s="5" t="s">
        <v>554</v>
      </c>
      <c r="G125" s="5" t="b">
        <v>1</v>
      </c>
    </row>
    <row r="126" spans="1:7">
      <c r="A126" s="12">
        <v>125</v>
      </c>
      <c r="B126" s="13" t="s">
        <v>1578</v>
      </c>
      <c r="C126" s="13" t="s">
        <v>556</v>
      </c>
      <c r="D126" s="13" t="s">
        <v>557</v>
      </c>
      <c r="E126" s="13" t="s">
        <v>317</v>
      </c>
      <c r="F126" s="13" t="s">
        <v>558</v>
      </c>
      <c r="G126" s="13" t="b">
        <v>1</v>
      </c>
    </row>
    <row r="127" spans="1:7">
      <c r="A127" s="4">
        <v>126</v>
      </c>
      <c r="B127" s="5" t="s">
        <v>1579</v>
      </c>
      <c r="C127" s="5" t="s">
        <v>560</v>
      </c>
      <c r="D127" s="5" t="s">
        <v>561</v>
      </c>
      <c r="E127" s="5" t="s">
        <v>317</v>
      </c>
      <c r="F127" s="5" t="s">
        <v>562</v>
      </c>
      <c r="G127" s="5" t="b">
        <v>1</v>
      </c>
    </row>
    <row r="128" spans="1:7">
      <c r="A128" s="12">
        <v>127</v>
      </c>
      <c r="B128" s="13" t="s">
        <v>1580</v>
      </c>
      <c r="C128" s="13" t="s">
        <v>564</v>
      </c>
      <c r="D128" s="13" t="s">
        <v>564</v>
      </c>
      <c r="E128" s="13" t="s">
        <v>317</v>
      </c>
      <c r="F128" s="13" t="s">
        <v>565</v>
      </c>
      <c r="G128" s="13"/>
    </row>
    <row r="129" spans="1:7">
      <c r="A129" s="4">
        <v>128</v>
      </c>
      <c r="B129" s="5" t="s">
        <v>1581</v>
      </c>
      <c r="C129" s="5" t="s">
        <v>236</v>
      </c>
      <c r="D129" s="5" t="s">
        <v>237</v>
      </c>
      <c r="E129" s="5" t="s">
        <v>317</v>
      </c>
      <c r="F129" s="5" t="s">
        <v>566</v>
      </c>
      <c r="G129" s="5"/>
    </row>
    <row r="130" spans="1:7">
      <c r="A130" s="12">
        <v>129</v>
      </c>
      <c r="B130" s="13" t="s">
        <v>1582</v>
      </c>
      <c r="C130" s="13" t="s">
        <v>239</v>
      </c>
      <c r="D130" s="13" t="s">
        <v>240</v>
      </c>
      <c r="E130" s="13" t="s">
        <v>317</v>
      </c>
      <c r="F130" s="13" t="s">
        <v>567</v>
      </c>
      <c r="G130" s="13" t="b">
        <v>1</v>
      </c>
    </row>
    <row r="131" spans="1:7">
      <c r="A131" s="4">
        <v>130</v>
      </c>
      <c r="B131" s="5" t="s">
        <v>1583</v>
      </c>
      <c r="C131" s="5" t="s">
        <v>242</v>
      </c>
      <c r="D131" s="5" t="s">
        <v>243</v>
      </c>
      <c r="E131" s="5" t="s">
        <v>317</v>
      </c>
      <c r="F131" s="5" t="s">
        <v>568</v>
      </c>
      <c r="G131" s="5" t="b">
        <v>1</v>
      </c>
    </row>
    <row r="132" spans="1:7">
      <c r="A132" s="12">
        <v>131</v>
      </c>
      <c r="B132" s="13" t="s">
        <v>1584</v>
      </c>
      <c r="C132" s="13" t="s">
        <v>570</v>
      </c>
      <c r="D132" s="13" t="s">
        <v>571</v>
      </c>
      <c r="E132" s="13" t="s">
        <v>317</v>
      </c>
      <c r="F132" s="13" t="s">
        <v>572</v>
      </c>
      <c r="G132" s="13" t="b">
        <v>1</v>
      </c>
    </row>
    <row r="133" spans="1:7">
      <c r="A133" s="4">
        <v>132</v>
      </c>
      <c r="B133" s="5" t="s">
        <v>1584</v>
      </c>
      <c r="C133" s="5" t="s">
        <v>570</v>
      </c>
      <c r="D133" s="5" t="s">
        <v>571</v>
      </c>
      <c r="E133" s="5" t="s">
        <v>317</v>
      </c>
      <c r="F133" s="5" t="s">
        <v>573</v>
      </c>
      <c r="G133" s="5"/>
    </row>
    <row r="134" spans="1:7">
      <c r="A134" s="12">
        <v>133</v>
      </c>
      <c r="B134" s="13" t="s">
        <v>1585</v>
      </c>
      <c r="C134" s="13" t="s">
        <v>245</v>
      </c>
      <c r="D134" s="13" t="s">
        <v>246</v>
      </c>
      <c r="E134" s="13" t="s">
        <v>317</v>
      </c>
      <c r="F134" s="13" t="s">
        <v>574</v>
      </c>
      <c r="G134" s="13"/>
    </row>
    <row r="135" spans="1:7">
      <c r="A135" s="4">
        <v>134</v>
      </c>
      <c r="B135" s="5" t="s">
        <v>1586</v>
      </c>
      <c r="C135" s="5" t="s">
        <v>576</v>
      </c>
      <c r="D135" s="5" t="s">
        <v>577</v>
      </c>
      <c r="E135" s="5" t="s">
        <v>317</v>
      </c>
      <c r="F135" s="5" t="s">
        <v>578</v>
      </c>
      <c r="G135" s="5" t="b">
        <v>1</v>
      </c>
    </row>
    <row r="136" spans="1:7">
      <c r="A136" s="12">
        <v>135</v>
      </c>
      <c r="B136" s="13" t="s">
        <v>1587</v>
      </c>
      <c r="C136" s="13" t="s">
        <v>248</v>
      </c>
      <c r="D136" s="13" t="s">
        <v>249</v>
      </c>
      <c r="E136" s="13" t="s">
        <v>317</v>
      </c>
      <c r="F136" s="13" t="s">
        <v>579</v>
      </c>
      <c r="G136" s="13" t="b">
        <v>1</v>
      </c>
    </row>
    <row r="137" spans="1:7">
      <c r="A137" s="4">
        <v>136</v>
      </c>
      <c r="B137" s="5" t="s">
        <v>1588</v>
      </c>
      <c r="C137" s="5" t="s">
        <v>251</v>
      </c>
      <c r="D137" s="5" t="s">
        <v>252</v>
      </c>
      <c r="E137" s="5" t="s">
        <v>317</v>
      </c>
      <c r="F137" s="5" t="s">
        <v>580</v>
      </c>
      <c r="G137" s="5" t="b">
        <v>1</v>
      </c>
    </row>
    <row r="138" spans="1:7">
      <c r="A138" s="12">
        <v>137</v>
      </c>
      <c r="B138" s="13" t="s">
        <v>1589</v>
      </c>
      <c r="C138" s="13" t="s">
        <v>254</v>
      </c>
      <c r="D138" s="13" t="s">
        <v>255</v>
      </c>
      <c r="E138" s="13" t="s">
        <v>317</v>
      </c>
      <c r="F138" s="13" t="s">
        <v>581</v>
      </c>
      <c r="G138" s="13" t="b">
        <v>1</v>
      </c>
    </row>
    <row r="139" spans="1:7">
      <c r="A139" s="4">
        <v>138</v>
      </c>
      <c r="B139" s="5" t="s">
        <v>1590</v>
      </c>
      <c r="C139" s="5" t="s">
        <v>257</v>
      </c>
      <c r="D139" s="5" t="s">
        <v>258</v>
      </c>
      <c r="E139" s="5" t="s">
        <v>317</v>
      </c>
      <c r="F139" s="5" t="s">
        <v>582</v>
      </c>
      <c r="G139" s="5" t="b">
        <v>1</v>
      </c>
    </row>
    <row r="140" spans="1:7">
      <c r="A140" s="12">
        <v>139</v>
      </c>
      <c r="B140" s="13" t="s">
        <v>1591</v>
      </c>
      <c r="C140" s="13" t="s">
        <v>260</v>
      </c>
      <c r="D140" s="13" t="s">
        <v>261</v>
      </c>
      <c r="E140" s="13" t="s">
        <v>317</v>
      </c>
      <c r="F140" s="13" t="s">
        <v>583</v>
      </c>
      <c r="G140" s="13" t="b">
        <v>1</v>
      </c>
    </row>
    <row r="141" spans="1:7">
      <c r="A141" s="4">
        <v>140</v>
      </c>
      <c r="B141" s="5" t="s">
        <v>1592</v>
      </c>
      <c r="C141" s="5" t="s">
        <v>263</v>
      </c>
      <c r="D141" s="5" t="s">
        <v>264</v>
      </c>
      <c r="E141" s="5" t="s">
        <v>317</v>
      </c>
      <c r="F141" s="5" t="s">
        <v>584</v>
      </c>
      <c r="G141" s="5" t="s">
        <v>1472</v>
      </c>
    </row>
    <row r="142" spans="1:7">
      <c r="A142" s="12">
        <v>141</v>
      </c>
      <c r="B142" s="13" t="s">
        <v>1593</v>
      </c>
      <c r="C142" s="13" t="s">
        <v>266</v>
      </c>
      <c r="D142" s="13" t="s">
        <v>267</v>
      </c>
      <c r="E142" s="13" t="s">
        <v>317</v>
      </c>
      <c r="F142" s="13" t="s">
        <v>585</v>
      </c>
      <c r="G142" s="13" t="b">
        <v>1</v>
      </c>
    </row>
    <row r="143" spans="1:7">
      <c r="A143" s="4">
        <v>142</v>
      </c>
      <c r="B143" s="5" t="s">
        <v>1594</v>
      </c>
      <c r="C143" s="5" t="s">
        <v>587</v>
      </c>
      <c r="D143" s="5" t="s">
        <v>587</v>
      </c>
      <c r="E143" s="5" t="s">
        <v>317</v>
      </c>
      <c r="F143" s="5" t="s">
        <v>588</v>
      </c>
      <c r="G143" s="5" t="b">
        <v>1</v>
      </c>
    </row>
    <row r="144" spans="1:7">
      <c r="A144" s="12">
        <v>143</v>
      </c>
      <c r="B144" s="13" t="s">
        <v>1595</v>
      </c>
      <c r="C144" s="13" t="s">
        <v>590</v>
      </c>
      <c r="D144" s="13" t="s">
        <v>591</v>
      </c>
      <c r="E144" s="13" t="s">
        <v>317</v>
      </c>
      <c r="F144" s="13" t="s">
        <v>592</v>
      </c>
      <c r="G144" s="13" t="b">
        <v>1</v>
      </c>
    </row>
    <row r="145" spans="1:7">
      <c r="A145" s="12">
        <v>145</v>
      </c>
      <c r="B145" s="13" t="s">
        <v>1596</v>
      </c>
      <c r="C145" s="13" t="s">
        <v>269</v>
      </c>
      <c r="D145" s="13" t="s">
        <v>270</v>
      </c>
      <c r="E145" s="13" t="s">
        <v>317</v>
      </c>
      <c r="F145" s="13" t="s">
        <v>597</v>
      </c>
      <c r="G145" s="13"/>
    </row>
    <row r="146" spans="1:7">
      <c r="A146" s="4">
        <v>146</v>
      </c>
      <c r="B146" s="5" t="s">
        <v>1596</v>
      </c>
      <c r="C146" s="5" t="s">
        <v>269</v>
      </c>
      <c r="D146" s="5" t="s">
        <v>270</v>
      </c>
      <c r="E146" s="5" t="s">
        <v>317</v>
      </c>
      <c r="F146" s="5" t="s">
        <v>598</v>
      </c>
      <c r="G146" s="5" t="b">
        <v>1</v>
      </c>
    </row>
    <row r="147" spans="1:7">
      <c r="A147" s="12">
        <v>147</v>
      </c>
      <c r="B147" s="13" t="s">
        <v>1597</v>
      </c>
      <c r="C147" s="13" t="s">
        <v>600</v>
      </c>
      <c r="D147" s="13" t="s">
        <v>601</v>
      </c>
      <c r="E147" s="13" t="s">
        <v>317</v>
      </c>
      <c r="F147" s="13" t="s">
        <v>602</v>
      </c>
      <c r="G147" s="13"/>
    </row>
    <row r="148" spans="1:7">
      <c r="A148" s="4">
        <v>148</v>
      </c>
      <c r="B148" s="5" t="s">
        <v>1598</v>
      </c>
      <c r="C148" s="5" t="s">
        <v>272</v>
      </c>
      <c r="D148" s="5" t="s">
        <v>273</v>
      </c>
      <c r="E148" s="5" t="s">
        <v>317</v>
      </c>
      <c r="F148" s="5" t="s">
        <v>603</v>
      </c>
      <c r="G148" s="5" t="b">
        <v>1</v>
      </c>
    </row>
    <row r="149" spans="1:7">
      <c r="A149" s="12">
        <v>149</v>
      </c>
      <c r="B149" s="13" t="s">
        <v>1599</v>
      </c>
      <c r="C149" s="13" t="s">
        <v>275</v>
      </c>
      <c r="D149" s="13" t="s">
        <v>276</v>
      </c>
      <c r="E149" s="13" t="s">
        <v>317</v>
      </c>
      <c r="F149" s="13" t="s">
        <v>604</v>
      </c>
      <c r="G149" s="13" t="b">
        <v>1</v>
      </c>
    </row>
    <row r="150" spans="1:7">
      <c r="A150" s="4">
        <v>150</v>
      </c>
      <c r="B150" s="5" t="s">
        <v>1600</v>
      </c>
      <c r="C150" s="5" t="s">
        <v>278</v>
      </c>
      <c r="D150" s="5" t="s">
        <v>278</v>
      </c>
      <c r="E150" s="5" t="s">
        <v>317</v>
      </c>
      <c r="F150" s="5" t="s">
        <v>605</v>
      </c>
      <c r="G150" s="5" t="b">
        <v>1</v>
      </c>
    </row>
    <row r="151" spans="1:7">
      <c r="A151" s="12">
        <v>151</v>
      </c>
      <c r="B151" s="13" t="s">
        <v>1601</v>
      </c>
      <c r="C151" s="13" t="s">
        <v>280</v>
      </c>
      <c r="D151" s="13" t="s">
        <v>281</v>
      </c>
      <c r="E151" s="13" t="s">
        <v>317</v>
      </c>
      <c r="F151" s="13" t="s">
        <v>606</v>
      </c>
      <c r="G151" s="13" t="b">
        <v>1</v>
      </c>
    </row>
    <row r="152" spans="1:7">
      <c r="A152" s="4">
        <v>152</v>
      </c>
      <c r="B152" s="5" t="s">
        <v>1602</v>
      </c>
      <c r="C152" s="5" t="s">
        <v>283</v>
      </c>
      <c r="D152" s="5" t="s">
        <v>284</v>
      </c>
      <c r="E152" s="5" t="s">
        <v>317</v>
      </c>
      <c r="F152" s="5" t="s">
        <v>607</v>
      </c>
      <c r="G152" s="13" t="b">
        <v>1</v>
      </c>
    </row>
    <row r="153" spans="1:7">
      <c r="A153" s="12">
        <v>153</v>
      </c>
      <c r="B153" s="13" t="s">
        <v>1603</v>
      </c>
      <c r="C153" s="13" t="s">
        <v>609</v>
      </c>
      <c r="D153" s="13" t="s">
        <v>610</v>
      </c>
      <c r="E153" s="13" t="s">
        <v>317</v>
      </c>
      <c r="F153" s="13" t="s">
        <v>611</v>
      </c>
      <c r="G153" s="13" t="b">
        <v>1</v>
      </c>
    </row>
    <row r="154" spans="1:7">
      <c r="A154" s="4">
        <v>154</v>
      </c>
      <c r="B154" s="5" t="s">
        <v>1604</v>
      </c>
      <c r="C154" s="5" t="s">
        <v>286</v>
      </c>
      <c r="D154" s="5" t="s">
        <v>287</v>
      </c>
      <c r="E154" s="5" t="s">
        <v>317</v>
      </c>
      <c r="F154" s="5" t="s">
        <v>612</v>
      </c>
      <c r="G154" s="5" t="b">
        <v>1</v>
      </c>
    </row>
    <row r="155" spans="1:7">
      <c r="A155" s="12">
        <v>155</v>
      </c>
      <c r="B155" s="13" t="s">
        <v>1605</v>
      </c>
      <c r="C155" s="13" t="s">
        <v>614</v>
      </c>
      <c r="D155" s="13" t="s">
        <v>615</v>
      </c>
      <c r="E155" s="13" t="s">
        <v>317</v>
      </c>
      <c r="F155" s="13" t="s">
        <v>616</v>
      </c>
      <c r="G155" s="13"/>
    </row>
    <row r="156" spans="1:7">
      <c r="A156" s="4">
        <v>156</v>
      </c>
      <c r="B156" s="5" t="s">
        <v>1606</v>
      </c>
      <c r="C156" s="5" t="s">
        <v>289</v>
      </c>
      <c r="D156" s="5" t="s">
        <v>290</v>
      </c>
      <c r="E156" s="5" t="s">
        <v>317</v>
      </c>
      <c r="F156" s="5" t="s">
        <v>617</v>
      </c>
      <c r="G156" s="5" t="b">
        <v>1</v>
      </c>
    </row>
    <row r="157" spans="1:7">
      <c r="A157" s="12">
        <v>157</v>
      </c>
      <c r="B157" s="13" t="s">
        <v>1607</v>
      </c>
      <c r="C157" s="13" t="s">
        <v>292</v>
      </c>
      <c r="D157" s="13" t="s">
        <v>293</v>
      </c>
      <c r="E157" s="13" t="s">
        <v>317</v>
      </c>
      <c r="F157" s="13" t="s">
        <v>618</v>
      </c>
      <c r="G157" s="13" t="s">
        <v>1472</v>
      </c>
    </row>
    <row r="158" spans="1:7">
      <c r="A158" s="4">
        <v>158</v>
      </c>
      <c r="B158" s="5" t="s">
        <v>1608</v>
      </c>
      <c r="C158" s="5" t="s">
        <v>295</v>
      </c>
      <c r="D158" s="5" t="s">
        <v>296</v>
      </c>
      <c r="E158" s="5" t="s">
        <v>317</v>
      </c>
      <c r="F158" s="5" t="s">
        <v>619</v>
      </c>
      <c r="G158" s="5" t="b">
        <v>1</v>
      </c>
    </row>
    <row r="159" spans="1:7">
      <c r="A159" s="12">
        <v>159</v>
      </c>
      <c r="B159" s="13" t="s">
        <v>1609</v>
      </c>
      <c r="C159" s="13" t="s">
        <v>298</v>
      </c>
      <c r="D159" s="13" t="s">
        <v>299</v>
      </c>
      <c r="E159" s="13" t="s">
        <v>317</v>
      </c>
      <c r="F159" s="13" t="s">
        <v>620</v>
      </c>
      <c r="G159" s="13" t="b">
        <v>1</v>
      </c>
    </row>
    <row r="160" spans="1:7">
      <c r="A160" s="4">
        <v>160</v>
      </c>
      <c r="B160" s="5" t="s">
        <v>1610</v>
      </c>
      <c r="C160" s="5" t="s">
        <v>301</v>
      </c>
      <c r="D160" s="5" t="s">
        <v>302</v>
      </c>
      <c r="E160" s="5" t="s">
        <v>317</v>
      </c>
      <c r="F160" s="5" t="s">
        <v>621</v>
      </c>
      <c r="G160" s="5"/>
    </row>
    <row r="161" spans="1:7">
      <c r="A161" s="12">
        <v>161</v>
      </c>
      <c r="B161" s="13" t="s">
        <v>1611</v>
      </c>
      <c r="C161" s="13" t="s">
        <v>304</v>
      </c>
      <c r="D161" s="13" t="s">
        <v>305</v>
      </c>
      <c r="E161" s="13" t="s">
        <v>317</v>
      </c>
      <c r="F161" s="13" t="s">
        <v>622</v>
      </c>
      <c r="G161" s="13" t="s">
        <v>1472</v>
      </c>
    </row>
    <row r="162" spans="1:7">
      <c r="A162" s="4">
        <v>162</v>
      </c>
      <c r="B162" s="5" t="s">
        <v>1612</v>
      </c>
      <c r="C162" s="5" t="s">
        <v>624</v>
      </c>
      <c r="D162" s="5" t="s">
        <v>625</v>
      </c>
      <c r="E162" s="5" t="s">
        <v>317</v>
      </c>
      <c r="F162" s="5" t="s">
        <v>626</v>
      </c>
      <c r="G162" s="5" t="b">
        <v>1</v>
      </c>
    </row>
    <row r="163" spans="1:7">
      <c r="A163" s="12">
        <v>163</v>
      </c>
      <c r="B163" s="13" t="s">
        <v>1613</v>
      </c>
      <c r="C163" s="13" t="s">
        <v>307</v>
      </c>
      <c r="D163" s="13" t="s">
        <v>307</v>
      </c>
      <c r="E163" s="13" t="s">
        <v>317</v>
      </c>
      <c r="F163" s="13" t="s">
        <v>627</v>
      </c>
      <c r="G163" s="13" t="s">
        <v>1472</v>
      </c>
    </row>
    <row r="164" spans="1:7">
      <c r="A164" s="4">
        <v>164</v>
      </c>
      <c r="B164" s="5" t="s">
        <v>1614</v>
      </c>
      <c r="C164" s="5" t="s">
        <v>309</v>
      </c>
      <c r="D164" s="5" t="s">
        <v>310</v>
      </c>
      <c r="E164" s="5" t="s">
        <v>317</v>
      </c>
      <c r="F164" s="5" t="s">
        <v>628</v>
      </c>
      <c r="G164" s="5" t="b">
        <v>1</v>
      </c>
    </row>
    <row r="165" spans="1:7">
      <c r="A165" s="12">
        <v>165</v>
      </c>
      <c r="B165" s="13" t="s">
        <v>1615</v>
      </c>
      <c r="C165" s="13" t="s">
        <v>312</v>
      </c>
      <c r="D165" s="13" t="s">
        <v>313</v>
      </c>
      <c r="E165" s="13" t="s">
        <v>317</v>
      </c>
      <c r="F165" s="13" t="s">
        <v>629</v>
      </c>
      <c r="G165" s="13" t="b">
        <v>1</v>
      </c>
    </row>
    <row r="166" spans="1:7" hidden="1">
      <c r="A166" s="14">
        <v>167</v>
      </c>
      <c r="B166" s="15" t="s">
        <v>1469</v>
      </c>
      <c r="C166" s="15" t="s">
        <v>30</v>
      </c>
      <c r="D166" s="15" t="s">
        <v>31</v>
      </c>
      <c r="E166" s="15" t="s">
        <v>630</v>
      </c>
      <c r="F166" s="15" t="s">
        <v>631</v>
      </c>
      <c r="G166" s="15" t="b">
        <v>1</v>
      </c>
    </row>
    <row r="167" spans="1:7" hidden="1">
      <c r="A167" s="4">
        <v>168</v>
      </c>
      <c r="B167" s="5" t="s">
        <v>1470</v>
      </c>
      <c r="C167" s="5" t="s">
        <v>34</v>
      </c>
      <c r="D167" s="5" t="s">
        <v>35</v>
      </c>
      <c r="E167" s="5" t="s">
        <v>630</v>
      </c>
      <c r="F167" s="5" t="s">
        <v>632</v>
      </c>
      <c r="G167" s="5" t="b">
        <v>1</v>
      </c>
    </row>
    <row r="168" spans="1:7" hidden="1">
      <c r="A168" s="14">
        <v>169</v>
      </c>
      <c r="B168" s="15" t="s">
        <v>1470</v>
      </c>
      <c r="C168" s="15" t="s">
        <v>34</v>
      </c>
      <c r="D168" s="15" t="s">
        <v>35</v>
      </c>
      <c r="E168" s="15" t="s">
        <v>630</v>
      </c>
      <c r="F168" s="15" t="s">
        <v>633</v>
      </c>
      <c r="G168" s="15"/>
    </row>
    <row r="169" spans="1:7" hidden="1">
      <c r="A169" s="4">
        <v>170</v>
      </c>
      <c r="B169" s="5" t="s">
        <v>1471</v>
      </c>
      <c r="C169" s="5" t="s">
        <v>37</v>
      </c>
      <c r="D169" s="5" t="s">
        <v>38</v>
      </c>
      <c r="E169" s="5" t="s">
        <v>630</v>
      </c>
      <c r="F169" s="5" t="s">
        <v>634</v>
      </c>
      <c r="G169" s="5" t="s">
        <v>1472</v>
      </c>
    </row>
    <row r="170" spans="1:7" hidden="1">
      <c r="A170" s="14">
        <v>171</v>
      </c>
      <c r="B170" s="15" t="s">
        <v>1473</v>
      </c>
      <c r="C170" s="15" t="s">
        <v>27</v>
      </c>
      <c r="D170" s="15" t="s">
        <v>27</v>
      </c>
      <c r="E170" s="15" t="s">
        <v>630</v>
      </c>
      <c r="F170" s="15" t="s">
        <v>1616</v>
      </c>
      <c r="G170" s="15" t="b">
        <v>1</v>
      </c>
    </row>
    <row r="171" spans="1:7" hidden="1">
      <c r="A171" s="4">
        <v>172</v>
      </c>
      <c r="B171" s="5" t="s">
        <v>1473</v>
      </c>
      <c r="C171" s="5" t="s">
        <v>27</v>
      </c>
      <c r="D171" s="5" t="s">
        <v>27</v>
      </c>
      <c r="E171" s="5" t="s">
        <v>630</v>
      </c>
      <c r="F171" s="5" t="s">
        <v>1617</v>
      </c>
      <c r="G171" s="5" t="b">
        <v>1</v>
      </c>
    </row>
    <row r="172" spans="1:7" hidden="1">
      <c r="A172" s="14">
        <v>173</v>
      </c>
      <c r="B172" s="15" t="s">
        <v>1474</v>
      </c>
      <c r="C172" s="15" t="s">
        <v>324</v>
      </c>
      <c r="D172" s="15" t="s">
        <v>325</v>
      </c>
      <c r="E172" s="15" t="s">
        <v>630</v>
      </c>
      <c r="F172" s="15" t="s">
        <v>637</v>
      </c>
      <c r="G172" s="15" t="b">
        <v>1</v>
      </c>
    </row>
    <row r="173" spans="1:7" hidden="1">
      <c r="A173" s="4">
        <v>174</v>
      </c>
      <c r="B173" s="5" t="s">
        <v>1475</v>
      </c>
      <c r="C173" s="5" t="s">
        <v>328</v>
      </c>
      <c r="D173" s="5" t="s">
        <v>329</v>
      </c>
      <c r="E173" s="5" t="s">
        <v>630</v>
      </c>
      <c r="F173" s="5" t="s">
        <v>638</v>
      </c>
      <c r="G173" s="5"/>
    </row>
    <row r="174" spans="1:7" hidden="1">
      <c r="A174" s="14">
        <v>175</v>
      </c>
      <c r="B174" s="15" t="s">
        <v>1478</v>
      </c>
      <c r="C174" s="15" t="s">
        <v>43</v>
      </c>
      <c r="D174" s="15" t="s">
        <v>44</v>
      </c>
      <c r="E174" s="15" t="s">
        <v>630</v>
      </c>
      <c r="F174" s="15" t="s">
        <v>1299</v>
      </c>
      <c r="G174" s="15" t="b">
        <v>1</v>
      </c>
    </row>
    <row r="175" spans="1:7" hidden="1">
      <c r="A175" s="4">
        <v>176</v>
      </c>
      <c r="B175" s="5" t="s">
        <v>1480</v>
      </c>
      <c r="C175" s="5" t="s">
        <v>46</v>
      </c>
      <c r="D175" s="5" t="s">
        <v>47</v>
      </c>
      <c r="E175" s="5" t="s">
        <v>630</v>
      </c>
      <c r="F175" s="5" t="s">
        <v>640</v>
      </c>
      <c r="G175" s="5"/>
    </row>
    <row r="176" spans="1:7" hidden="1">
      <c r="A176" s="14">
        <v>177</v>
      </c>
      <c r="B176" s="15" t="s">
        <v>1480</v>
      </c>
      <c r="C176" s="15" t="s">
        <v>46</v>
      </c>
      <c r="D176" s="15" t="s">
        <v>47</v>
      </c>
      <c r="E176" s="15" t="s">
        <v>630</v>
      </c>
      <c r="F176" s="15" t="s">
        <v>641</v>
      </c>
      <c r="G176" s="15"/>
    </row>
    <row r="177" spans="1:7" hidden="1">
      <c r="A177" s="4">
        <v>178</v>
      </c>
      <c r="B177" s="5" t="s">
        <v>1481</v>
      </c>
      <c r="C177" s="5" t="s">
        <v>342</v>
      </c>
      <c r="D177" s="5" t="s">
        <v>343</v>
      </c>
      <c r="E177" s="5" t="s">
        <v>630</v>
      </c>
      <c r="F177" s="5" t="s">
        <v>642</v>
      </c>
      <c r="G177" s="5" t="b">
        <v>1</v>
      </c>
    </row>
    <row r="178" spans="1:7" hidden="1">
      <c r="A178" s="14">
        <v>179</v>
      </c>
      <c r="B178" s="15" t="s">
        <v>1482</v>
      </c>
      <c r="C178" s="15" t="s">
        <v>49</v>
      </c>
      <c r="D178" s="15" t="s">
        <v>50</v>
      </c>
      <c r="E178" s="15" t="s">
        <v>630</v>
      </c>
      <c r="F178" s="15" t="s">
        <v>643</v>
      </c>
      <c r="G178" s="15" t="b">
        <v>1</v>
      </c>
    </row>
    <row r="179" spans="1:7" hidden="1">
      <c r="A179" s="4">
        <v>180</v>
      </c>
      <c r="B179" s="5" t="s">
        <v>1482</v>
      </c>
      <c r="C179" s="5" t="s">
        <v>49</v>
      </c>
      <c r="D179" s="5" t="s">
        <v>50</v>
      </c>
      <c r="E179" s="5" t="s">
        <v>630</v>
      </c>
      <c r="F179" s="5" t="s">
        <v>644</v>
      </c>
      <c r="G179" s="5" t="b">
        <v>1</v>
      </c>
    </row>
    <row r="180" spans="1:7" hidden="1">
      <c r="A180" s="14">
        <v>181</v>
      </c>
      <c r="B180" s="15" t="s">
        <v>1483</v>
      </c>
      <c r="C180" s="15" t="s">
        <v>52</v>
      </c>
      <c r="D180" s="15" t="s">
        <v>53</v>
      </c>
      <c r="E180" s="15" t="s">
        <v>630</v>
      </c>
      <c r="F180" s="15" t="s">
        <v>645</v>
      </c>
      <c r="G180" s="15"/>
    </row>
    <row r="181" spans="1:7" hidden="1">
      <c r="A181" s="4">
        <v>182</v>
      </c>
      <c r="B181" s="5" t="s">
        <v>1485</v>
      </c>
      <c r="C181" s="5" t="s">
        <v>58</v>
      </c>
      <c r="D181" s="5" t="s">
        <v>59</v>
      </c>
      <c r="E181" s="5" t="s">
        <v>630</v>
      </c>
      <c r="F181" s="5" t="s">
        <v>646</v>
      </c>
      <c r="G181" s="5"/>
    </row>
    <row r="182" spans="1:7" hidden="1">
      <c r="A182" s="14">
        <v>183</v>
      </c>
      <c r="B182" s="15" t="s">
        <v>1485</v>
      </c>
      <c r="C182" s="15" t="s">
        <v>58</v>
      </c>
      <c r="D182" s="15" t="s">
        <v>59</v>
      </c>
      <c r="E182" s="15" t="s">
        <v>630</v>
      </c>
      <c r="F182" s="15" t="s">
        <v>647</v>
      </c>
      <c r="G182" s="15"/>
    </row>
    <row r="183" spans="1:7" hidden="1">
      <c r="A183" s="4">
        <v>184</v>
      </c>
      <c r="B183" s="5" t="s">
        <v>1486</v>
      </c>
      <c r="C183" s="5" t="s">
        <v>61</v>
      </c>
      <c r="D183" s="5" t="s">
        <v>62</v>
      </c>
      <c r="E183" s="5" t="s">
        <v>630</v>
      </c>
      <c r="F183" s="5" t="s">
        <v>648</v>
      </c>
      <c r="G183" s="5" t="b">
        <v>1</v>
      </c>
    </row>
    <row r="184" spans="1:7" hidden="1">
      <c r="A184" s="14">
        <v>185</v>
      </c>
      <c r="B184" s="15" t="s">
        <v>1487</v>
      </c>
      <c r="C184" s="15" t="s">
        <v>351</v>
      </c>
      <c r="D184" s="15" t="s">
        <v>352</v>
      </c>
      <c r="E184" s="15" t="s">
        <v>630</v>
      </c>
      <c r="F184" s="15" t="s">
        <v>649</v>
      </c>
      <c r="G184" s="15" t="b">
        <v>1</v>
      </c>
    </row>
    <row r="185" spans="1:7" hidden="1">
      <c r="A185" s="4">
        <v>186</v>
      </c>
      <c r="B185" s="5" t="s">
        <v>1489</v>
      </c>
      <c r="C185" s="5" t="s">
        <v>359</v>
      </c>
      <c r="D185" s="5" t="s">
        <v>360</v>
      </c>
      <c r="E185" s="5" t="s">
        <v>630</v>
      </c>
      <c r="F185" s="5" t="s">
        <v>1618</v>
      </c>
      <c r="G185" s="5" t="b">
        <v>1</v>
      </c>
    </row>
    <row r="186" spans="1:7" hidden="1">
      <c r="A186" s="14">
        <v>187</v>
      </c>
      <c r="B186" s="15" t="s">
        <v>1489</v>
      </c>
      <c r="C186" s="15" t="s">
        <v>359</v>
      </c>
      <c r="D186" s="15" t="s">
        <v>360</v>
      </c>
      <c r="E186" s="15" t="s">
        <v>630</v>
      </c>
      <c r="F186" s="15" t="s">
        <v>1619</v>
      </c>
      <c r="G186" s="15" t="b">
        <v>1</v>
      </c>
    </row>
    <row r="187" spans="1:7" hidden="1">
      <c r="A187" s="4">
        <v>188</v>
      </c>
      <c r="B187" s="5" t="s">
        <v>1490</v>
      </c>
      <c r="C187" s="5" t="s">
        <v>64</v>
      </c>
      <c r="D187" s="5" t="s">
        <v>65</v>
      </c>
      <c r="E187" s="5" t="s">
        <v>630</v>
      </c>
      <c r="F187" s="5" t="s">
        <v>652</v>
      </c>
      <c r="G187" s="5"/>
    </row>
    <row r="188" spans="1:7" hidden="1">
      <c r="A188" s="14">
        <v>189</v>
      </c>
      <c r="B188" s="15" t="s">
        <v>1490</v>
      </c>
      <c r="C188" s="15" t="s">
        <v>64</v>
      </c>
      <c r="D188" s="15" t="s">
        <v>65</v>
      </c>
      <c r="E188" s="15" t="s">
        <v>630</v>
      </c>
      <c r="F188" s="15" t="s">
        <v>653</v>
      </c>
      <c r="G188" s="15"/>
    </row>
    <row r="189" spans="1:7" ht="24" hidden="1">
      <c r="A189" s="4">
        <v>190</v>
      </c>
      <c r="B189" s="5" t="s">
        <v>1491</v>
      </c>
      <c r="C189" s="5" t="s">
        <v>364</v>
      </c>
      <c r="D189" s="5" t="s">
        <v>365</v>
      </c>
      <c r="E189" s="5" t="s">
        <v>630</v>
      </c>
      <c r="F189" s="23" t="s">
        <v>1620</v>
      </c>
      <c r="G189" s="23"/>
    </row>
    <row r="190" spans="1:7" hidden="1">
      <c r="A190" s="14">
        <v>191</v>
      </c>
      <c r="B190" s="15" t="s">
        <v>1492</v>
      </c>
      <c r="C190" s="15" t="s">
        <v>67</v>
      </c>
      <c r="D190" s="15" t="s">
        <v>68</v>
      </c>
      <c r="E190" s="15" t="s">
        <v>630</v>
      </c>
      <c r="F190" s="15" t="s">
        <v>655</v>
      </c>
      <c r="G190" s="15" t="b">
        <v>1</v>
      </c>
    </row>
    <row r="191" spans="1:7" hidden="1">
      <c r="A191" s="4">
        <v>192</v>
      </c>
      <c r="B191" s="5" t="s">
        <v>1493</v>
      </c>
      <c r="C191" s="5" t="s">
        <v>369</v>
      </c>
      <c r="D191" s="5" t="s">
        <v>369</v>
      </c>
      <c r="E191" s="5" t="s">
        <v>630</v>
      </c>
      <c r="F191" s="5" t="s">
        <v>656</v>
      </c>
      <c r="G191" s="5" t="b">
        <v>1</v>
      </c>
    </row>
    <row r="192" spans="1:7" hidden="1">
      <c r="A192" s="14">
        <v>193</v>
      </c>
      <c r="B192" s="15" t="s">
        <v>1494</v>
      </c>
      <c r="C192" s="15" t="s">
        <v>70</v>
      </c>
      <c r="D192" s="15" t="s">
        <v>71</v>
      </c>
      <c r="E192" s="15" t="s">
        <v>630</v>
      </c>
      <c r="F192" s="15" t="s">
        <v>1621</v>
      </c>
      <c r="G192" s="15"/>
    </row>
    <row r="193" spans="1:7" hidden="1">
      <c r="A193" s="4">
        <v>194</v>
      </c>
      <c r="B193" s="5" t="s">
        <v>1497</v>
      </c>
      <c r="C193" s="5" t="s">
        <v>73</v>
      </c>
      <c r="D193" s="5" t="s">
        <v>74</v>
      </c>
      <c r="E193" s="5" t="s">
        <v>630</v>
      </c>
      <c r="F193" s="5" t="s">
        <v>658</v>
      </c>
      <c r="G193" s="5"/>
    </row>
    <row r="194" spans="1:7" hidden="1">
      <c r="A194" s="14">
        <v>195</v>
      </c>
      <c r="B194" s="15" t="s">
        <v>1500</v>
      </c>
      <c r="C194" s="15" t="s">
        <v>78</v>
      </c>
      <c r="D194" s="15" t="s">
        <v>79</v>
      </c>
      <c r="E194" s="15" t="s">
        <v>630</v>
      </c>
      <c r="F194" s="15" t="s">
        <v>659</v>
      </c>
      <c r="G194" s="15" t="b">
        <v>1</v>
      </c>
    </row>
    <row r="195" spans="1:7" hidden="1">
      <c r="A195" s="4">
        <v>196</v>
      </c>
      <c r="B195" s="5" t="s">
        <v>1501</v>
      </c>
      <c r="C195" s="5" t="s">
        <v>81</v>
      </c>
      <c r="D195" s="5" t="s">
        <v>82</v>
      </c>
      <c r="E195" s="5" t="s">
        <v>630</v>
      </c>
      <c r="F195" s="5" t="s">
        <v>1622</v>
      </c>
      <c r="G195" s="5"/>
    </row>
    <row r="196" spans="1:7" hidden="1">
      <c r="A196" s="14">
        <v>197</v>
      </c>
      <c r="B196" s="15" t="s">
        <v>1503</v>
      </c>
      <c r="C196" s="15" t="s">
        <v>8</v>
      </c>
      <c r="D196" s="15" t="s">
        <v>9</v>
      </c>
      <c r="E196" s="15" t="s">
        <v>630</v>
      </c>
      <c r="F196" s="15" t="s">
        <v>661</v>
      </c>
      <c r="G196" s="15"/>
    </row>
    <row r="197" spans="1:7" hidden="1">
      <c r="A197" s="4">
        <v>198</v>
      </c>
      <c r="B197" s="5" t="s">
        <v>1503</v>
      </c>
      <c r="C197" s="5" t="s">
        <v>8</v>
      </c>
      <c r="D197" s="5" t="s">
        <v>9</v>
      </c>
      <c r="E197" s="5" t="s">
        <v>630</v>
      </c>
      <c r="F197" s="5" t="s">
        <v>662</v>
      </c>
      <c r="G197" s="5"/>
    </row>
    <row r="198" spans="1:7" hidden="1">
      <c r="A198" s="14">
        <v>199</v>
      </c>
      <c r="B198" s="15" t="s">
        <v>1504</v>
      </c>
      <c r="C198" s="15" t="s">
        <v>87</v>
      </c>
      <c r="D198" s="15" t="s">
        <v>88</v>
      </c>
      <c r="E198" s="15" t="s">
        <v>630</v>
      </c>
      <c r="F198" s="15" t="s">
        <v>1623</v>
      </c>
      <c r="G198" s="15" t="b">
        <v>1</v>
      </c>
    </row>
    <row r="199" spans="1:7" hidden="1">
      <c r="A199" s="4">
        <v>200</v>
      </c>
      <c r="B199" s="5" t="s">
        <v>1504</v>
      </c>
      <c r="C199" s="5" t="s">
        <v>87</v>
      </c>
      <c r="D199" s="5" t="s">
        <v>88</v>
      </c>
      <c r="E199" s="5" t="s">
        <v>630</v>
      </c>
      <c r="F199" s="5" t="s">
        <v>1624</v>
      </c>
      <c r="G199" s="15" t="b">
        <v>1</v>
      </c>
    </row>
    <row r="200" spans="1:7" hidden="1">
      <c r="A200" s="14">
        <v>201</v>
      </c>
      <c r="B200" s="15" t="s">
        <v>1505</v>
      </c>
      <c r="C200" s="15" t="s">
        <v>388</v>
      </c>
      <c r="D200" s="15" t="s">
        <v>389</v>
      </c>
      <c r="E200" s="15" t="s">
        <v>630</v>
      </c>
      <c r="F200" s="15" t="s">
        <v>665</v>
      </c>
      <c r="G200" s="15" t="s">
        <v>1472</v>
      </c>
    </row>
    <row r="201" spans="1:7" hidden="1">
      <c r="A201" s="4">
        <v>202</v>
      </c>
      <c r="B201" s="5" t="s">
        <v>1509</v>
      </c>
      <c r="C201" s="5" t="s">
        <v>90</v>
      </c>
      <c r="D201" s="5" t="s">
        <v>91</v>
      </c>
      <c r="E201" s="5" t="s">
        <v>630</v>
      </c>
      <c r="F201" s="5" t="s">
        <v>1625</v>
      </c>
      <c r="G201" s="5"/>
    </row>
    <row r="202" spans="1:7" hidden="1">
      <c r="A202" s="14">
        <v>203</v>
      </c>
      <c r="B202" s="15" t="s">
        <v>1509</v>
      </c>
      <c r="C202" s="15" t="s">
        <v>90</v>
      </c>
      <c r="D202" s="15" t="s">
        <v>91</v>
      </c>
      <c r="E202" s="15" t="s">
        <v>630</v>
      </c>
      <c r="F202" s="15" t="s">
        <v>1626</v>
      </c>
      <c r="G202" s="15"/>
    </row>
    <row r="203" spans="1:7" hidden="1">
      <c r="A203" s="4">
        <v>204</v>
      </c>
      <c r="B203" s="5" t="s">
        <v>92</v>
      </c>
      <c r="C203" s="5" t="s">
        <v>93</v>
      </c>
      <c r="D203" s="5" t="s">
        <v>94</v>
      </c>
      <c r="E203" s="5" t="s">
        <v>630</v>
      </c>
      <c r="F203" s="5" t="s">
        <v>668</v>
      </c>
      <c r="G203" s="5" t="b">
        <v>1</v>
      </c>
    </row>
    <row r="204" spans="1:7" hidden="1">
      <c r="A204" s="14">
        <v>205</v>
      </c>
      <c r="B204" s="15" t="s">
        <v>1510</v>
      </c>
      <c r="C204" s="15" t="s">
        <v>96</v>
      </c>
      <c r="D204" s="15" t="s">
        <v>97</v>
      </c>
      <c r="E204" s="15" t="s">
        <v>630</v>
      </c>
      <c r="F204" s="15" t="s">
        <v>1289</v>
      </c>
      <c r="G204" s="15" t="b">
        <v>1</v>
      </c>
    </row>
    <row r="205" spans="1:7" hidden="1">
      <c r="A205" s="4">
        <v>206</v>
      </c>
      <c r="B205" s="5" t="s">
        <v>1510</v>
      </c>
      <c r="C205" s="5" t="s">
        <v>96</v>
      </c>
      <c r="D205" s="5" t="s">
        <v>97</v>
      </c>
      <c r="E205" s="5" t="s">
        <v>630</v>
      </c>
      <c r="F205" s="5" t="s">
        <v>1291</v>
      </c>
      <c r="G205" s="5" t="b">
        <v>1</v>
      </c>
    </row>
    <row r="206" spans="1:7" hidden="1">
      <c r="A206" s="14">
        <v>207</v>
      </c>
      <c r="B206" s="15" t="s">
        <v>1512</v>
      </c>
      <c r="C206" s="15" t="s">
        <v>102</v>
      </c>
      <c r="D206" s="15" t="s">
        <v>103</v>
      </c>
      <c r="E206" s="15" t="s">
        <v>630</v>
      </c>
      <c r="F206" s="15" t="s">
        <v>1627</v>
      </c>
      <c r="G206" s="15" t="b">
        <v>1</v>
      </c>
    </row>
    <row r="207" spans="1:7" hidden="1">
      <c r="A207" s="4">
        <v>208</v>
      </c>
      <c r="B207" s="5" t="s">
        <v>1512</v>
      </c>
      <c r="C207" s="5" t="s">
        <v>102</v>
      </c>
      <c r="D207" s="5" t="s">
        <v>103</v>
      </c>
      <c r="E207" s="5" t="s">
        <v>630</v>
      </c>
      <c r="F207" s="5" t="s">
        <v>1628</v>
      </c>
      <c r="G207" s="5" t="b">
        <v>1</v>
      </c>
    </row>
    <row r="208" spans="1:7" hidden="1">
      <c r="A208" s="14">
        <v>209</v>
      </c>
      <c r="B208" s="15" t="s">
        <v>405</v>
      </c>
      <c r="C208" s="15" t="s">
        <v>406</v>
      </c>
      <c r="D208" s="15" t="s">
        <v>407</v>
      </c>
      <c r="E208" s="15" t="s">
        <v>630</v>
      </c>
      <c r="F208" s="15" t="s">
        <v>673</v>
      </c>
      <c r="G208" s="15"/>
    </row>
    <row r="209" spans="1:7" hidden="1">
      <c r="A209" s="4">
        <v>210</v>
      </c>
      <c r="B209" s="5" t="s">
        <v>1516</v>
      </c>
      <c r="C209" s="5" t="s">
        <v>105</v>
      </c>
      <c r="D209" s="5" t="s">
        <v>106</v>
      </c>
      <c r="E209" s="5" t="s">
        <v>630</v>
      </c>
      <c r="F209" s="5" t="s">
        <v>674</v>
      </c>
      <c r="G209" s="5" t="s">
        <v>1472</v>
      </c>
    </row>
    <row r="210" spans="1:7" hidden="1">
      <c r="A210" s="14">
        <v>211</v>
      </c>
      <c r="B210" s="15" t="s">
        <v>1518</v>
      </c>
      <c r="C210" s="15" t="s">
        <v>111</v>
      </c>
      <c r="D210" s="15" t="s">
        <v>112</v>
      </c>
      <c r="E210" s="15" t="s">
        <v>630</v>
      </c>
      <c r="F210" s="15" t="s">
        <v>1629</v>
      </c>
      <c r="G210" s="15" t="b">
        <v>1</v>
      </c>
    </row>
    <row r="211" spans="1:7" hidden="1">
      <c r="A211" s="4">
        <v>212</v>
      </c>
      <c r="B211" s="5" t="s">
        <v>1518</v>
      </c>
      <c r="C211" s="5" t="s">
        <v>111</v>
      </c>
      <c r="D211" s="5" t="s">
        <v>112</v>
      </c>
      <c r="E211" s="5" t="s">
        <v>630</v>
      </c>
      <c r="F211" s="5" t="s">
        <v>1630</v>
      </c>
      <c r="G211" s="5" t="b">
        <v>1</v>
      </c>
    </row>
    <row r="212" spans="1:7" hidden="1">
      <c r="A212" s="14">
        <v>213</v>
      </c>
      <c r="B212" s="15" t="s">
        <v>1519</v>
      </c>
      <c r="C212" s="15" t="s">
        <v>114</v>
      </c>
      <c r="D212" s="15" t="s">
        <v>115</v>
      </c>
      <c r="E212" s="15" t="s">
        <v>630</v>
      </c>
      <c r="F212" s="15" t="s">
        <v>677</v>
      </c>
      <c r="G212" s="15" t="b">
        <v>1</v>
      </c>
    </row>
    <row r="213" spans="1:7" ht="24" hidden="1">
      <c r="A213" s="4">
        <v>214</v>
      </c>
      <c r="B213" s="5" t="s">
        <v>1520</v>
      </c>
      <c r="C213" s="5" t="s">
        <v>117</v>
      </c>
      <c r="D213" s="5" t="s">
        <v>118</v>
      </c>
      <c r="E213" s="5" t="s">
        <v>630</v>
      </c>
      <c r="F213" s="23" t="s">
        <v>1631</v>
      </c>
      <c r="G213" s="23"/>
    </row>
    <row r="214" spans="1:7" hidden="1">
      <c r="A214" s="14">
        <v>215</v>
      </c>
      <c r="B214" s="15" t="s">
        <v>1521</v>
      </c>
      <c r="C214" s="15" t="s">
        <v>120</v>
      </c>
      <c r="D214" s="15" t="s">
        <v>121</v>
      </c>
      <c r="E214" s="15" t="s">
        <v>630</v>
      </c>
      <c r="F214" s="15" t="s">
        <v>679</v>
      </c>
      <c r="G214" s="15"/>
    </row>
    <row r="215" spans="1:7" hidden="1">
      <c r="A215" s="4">
        <v>216</v>
      </c>
      <c r="B215" s="5" t="s">
        <v>1523</v>
      </c>
      <c r="C215" s="5" t="s">
        <v>126</v>
      </c>
      <c r="D215" s="5" t="s">
        <v>126</v>
      </c>
      <c r="E215" s="5" t="s">
        <v>630</v>
      </c>
      <c r="F215" s="5" t="s">
        <v>680</v>
      </c>
      <c r="G215" s="5"/>
    </row>
    <row r="216" spans="1:7" hidden="1">
      <c r="A216" s="14">
        <v>217</v>
      </c>
      <c r="B216" s="15" t="s">
        <v>1464</v>
      </c>
      <c r="C216" s="15" t="s">
        <v>128</v>
      </c>
      <c r="D216" s="15" t="s">
        <v>129</v>
      </c>
      <c r="E216" s="15" t="s">
        <v>630</v>
      </c>
      <c r="F216" s="15" t="s">
        <v>1632</v>
      </c>
      <c r="G216" s="15"/>
    </row>
    <row r="217" spans="1:7" hidden="1">
      <c r="A217" s="4">
        <v>218</v>
      </c>
      <c r="B217" s="5" t="s">
        <v>1525</v>
      </c>
      <c r="C217" s="5" t="s">
        <v>135</v>
      </c>
      <c r="D217" s="5" t="s">
        <v>136</v>
      </c>
      <c r="E217" s="5" t="s">
        <v>630</v>
      </c>
      <c r="F217" s="5" t="s">
        <v>682</v>
      </c>
      <c r="G217" s="5" t="b">
        <v>1</v>
      </c>
    </row>
    <row r="218" spans="1:7" hidden="1">
      <c r="A218" s="14">
        <v>219</v>
      </c>
      <c r="B218" s="15" t="s">
        <v>1526</v>
      </c>
      <c r="C218" s="15" t="s">
        <v>138</v>
      </c>
      <c r="D218" s="15" t="s">
        <v>138</v>
      </c>
      <c r="E218" s="15" t="s">
        <v>630</v>
      </c>
      <c r="F218" s="15" t="s">
        <v>1114</v>
      </c>
      <c r="G218" s="15" t="b">
        <v>1</v>
      </c>
    </row>
    <row r="219" spans="1:7" hidden="1">
      <c r="A219" s="4">
        <v>220</v>
      </c>
      <c r="B219" s="5" t="s">
        <v>1526</v>
      </c>
      <c r="C219" s="5" t="s">
        <v>138</v>
      </c>
      <c r="D219" s="5" t="s">
        <v>138</v>
      </c>
      <c r="E219" s="5" t="s">
        <v>630</v>
      </c>
      <c r="F219" s="5" t="s">
        <v>1633</v>
      </c>
      <c r="G219" s="5"/>
    </row>
    <row r="220" spans="1:7" hidden="1">
      <c r="A220" s="14">
        <v>221</v>
      </c>
      <c r="B220" s="15" t="s">
        <v>1528</v>
      </c>
      <c r="C220" s="15" t="s">
        <v>434</v>
      </c>
      <c r="D220" s="15" t="s">
        <v>435</v>
      </c>
      <c r="E220" s="15" t="s">
        <v>630</v>
      </c>
      <c r="F220" s="15" t="s">
        <v>685</v>
      </c>
      <c r="G220" s="15" t="b">
        <v>1</v>
      </c>
    </row>
    <row r="221" spans="1:7" hidden="1">
      <c r="A221" s="4">
        <v>222</v>
      </c>
      <c r="B221" s="5" t="s">
        <v>1465</v>
      </c>
      <c r="C221" s="5" t="s">
        <v>146</v>
      </c>
      <c r="D221" s="5" t="s">
        <v>147</v>
      </c>
      <c r="E221" s="5" t="s">
        <v>630</v>
      </c>
      <c r="F221" s="5" t="s">
        <v>686</v>
      </c>
      <c r="G221" s="5" t="b">
        <v>1</v>
      </c>
    </row>
    <row r="222" spans="1:7" hidden="1">
      <c r="A222" s="14">
        <v>223</v>
      </c>
      <c r="B222" s="15" t="s">
        <v>149</v>
      </c>
      <c r="C222" s="15" t="s">
        <v>150</v>
      </c>
      <c r="D222" s="15" t="s">
        <v>151</v>
      </c>
      <c r="E222" s="15" t="s">
        <v>630</v>
      </c>
      <c r="F222" s="15" t="s">
        <v>687</v>
      </c>
      <c r="G222" s="15" t="b">
        <v>1</v>
      </c>
    </row>
    <row r="223" spans="1:7" hidden="1">
      <c r="A223" s="4">
        <v>224</v>
      </c>
      <c r="B223" s="5" t="s">
        <v>1532</v>
      </c>
      <c r="C223" s="5" t="s">
        <v>157</v>
      </c>
      <c r="D223" s="5" t="s">
        <v>157</v>
      </c>
      <c r="E223" s="5" t="s">
        <v>630</v>
      </c>
      <c r="F223" s="5" t="s">
        <v>688</v>
      </c>
      <c r="G223" s="5"/>
    </row>
    <row r="224" spans="1:7" hidden="1">
      <c r="A224" s="14">
        <v>225</v>
      </c>
      <c r="B224" s="15" t="s">
        <v>1536</v>
      </c>
      <c r="C224" s="15" t="s">
        <v>162</v>
      </c>
      <c r="D224" s="15" t="s">
        <v>162</v>
      </c>
      <c r="E224" s="15" t="s">
        <v>630</v>
      </c>
      <c r="F224" s="15" t="s">
        <v>689</v>
      </c>
      <c r="G224" s="15" t="b">
        <v>1</v>
      </c>
    </row>
    <row r="225" spans="1:7" hidden="1">
      <c r="A225" s="4">
        <v>226</v>
      </c>
      <c r="B225" s="5" t="s">
        <v>1537</v>
      </c>
      <c r="C225" s="5" t="s">
        <v>461</v>
      </c>
      <c r="D225" s="5" t="s">
        <v>462</v>
      </c>
      <c r="E225" s="5" t="s">
        <v>630</v>
      </c>
      <c r="F225" s="5" t="s">
        <v>690</v>
      </c>
      <c r="G225" s="5" t="b">
        <v>1</v>
      </c>
    </row>
    <row r="226" spans="1:7" hidden="1">
      <c r="A226" s="14">
        <v>227</v>
      </c>
      <c r="B226" s="15" t="s">
        <v>1538</v>
      </c>
      <c r="C226" s="15" t="s">
        <v>465</v>
      </c>
      <c r="D226" s="15" t="s">
        <v>466</v>
      </c>
      <c r="E226" s="15" t="s">
        <v>630</v>
      </c>
      <c r="F226" s="15" t="s">
        <v>691</v>
      </c>
      <c r="G226" s="15" t="s">
        <v>1472</v>
      </c>
    </row>
    <row r="227" spans="1:7" hidden="1">
      <c r="A227" s="4">
        <v>228</v>
      </c>
      <c r="B227" s="5" t="s">
        <v>1540</v>
      </c>
      <c r="C227" s="5" t="s">
        <v>164</v>
      </c>
      <c r="D227" s="5" t="s">
        <v>165</v>
      </c>
      <c r="E227" s="5" t="s">
        <v>630</v>
      </c>
      <c r="F227" s="5" t="s">
        <v>1634</v>
      </c>
      <c r="G227" s="5" t="b">
        <v>1</v>
      </c>
    </row>
    <row r="228" spans="1:7" hidden="1">
      <c r="A228" s="14">
        <v>229</v>
      </c>
      <c r="B228" s="15" t="s">
        <v>1540</v>
      </c>
      <c r="C228" s="15" t="s">
        <v>164</v>
      </c>
      <c r="D228" s="15" t="s">
        <v>165</v>
      </c>
      <c r="E228" s="15" t="s">
        <v>630</v>
      </c>
      <c r="F228" s="15" t="s">
        <v>1635</v>
      </c>
      <c r="G228" s="15" t="b">
        <v>1</v>
      </c>
    </row>
    <row r="229" spans="1:7" hidden="1">
      <c r="A229" s="4">
        <v>230</v>
      </c>
      <c r="B229" s="5" t="s">
        <v>1467</v>
      </c>
      <c r="C229" s="5" t="s">
        <v>167</v>
      </c>
      <c r="D229" s="5" t="s">
        <v>168</v>
      </c>
      <c r="E229" s="5" t="s">
        <v>630</v>
      </c>
      <c r="F229" s="5" t="s">
        <v>1636</v>
      </c>
      <c r="G229" s="5"/>
    </row>
    <row r="230" spans="1:7" hidden="1">
      <c r="A230" s="14">
        <v>231</v>
      </c>
      <c r="B230" s="15" t="s">
        <v>1541</v>
      </c>
      <c r="C230" s="15" t="s">
        <v>171</v>
      </c>
      <c r="D230" s="15" t="s">
        <v>172</v>
      </c>
      <c r="E230" s="15" t="s">
        <v>630</v>
      </c>
      <c r="F230" s="15" t="s">
        <v>695</v>
      </c>
      <c r="G230" s="15"/>
    </row>
    <row r="231" spans="1:7" hidden="1">
      <c r="A231" s="4">
        <v>232</v>
      </c>
      <c r="B231" s="5" t="s">
        <v>1542</v>
      </c>
      <c r="C231" s="5" t="s">
        <v>174</v>
      </c>
      <c r="D231" s="5" t="s">
        <v>175</v>
      </c>
      <c r="E231" s="5" t="s">
        <v>630</v>
      </c>
      <c r="F231" s="5" t="s">
        <v>696</v>
      </c>
      <c r="G231" s="5"/>
    </row>
    <row r="232" spans="1:7" hidden="1">
      <c r="A232" s="14">
        <v>233</v>
      </c>
      <c r="B232" s="15" t="s">
        <v>1542</v>
      </c>
      <c r="C232" s="15" t="s">
        <v>174</v>
      </c>
      <c r="D232" s="15" t="s">
        <v>175</v>
      </c>
      <c r="E232" s="15" t="s">
        <v>630</v>
      </c>
      <c r="F232" s="15" t="s">
        <v>697</v>
      </c>
      <c r="G232" s="15"/>
    </row>
    <row r="233" spans="1:7" hidden="1">
      <c r="A233" s="4">
        <v>234</v>
      </c>
      <c r="B233" s="5" t="s">
        <v>1545</v>
      </c>
      <c r="C233" s="5" t="s">
        <v>183</v>
      </c>
      <c r="D233" s="5" t="s">
        <v>184</v>
      </c>
      <c r="E233" s="5" t="s">
        <v>630</v>
      </c>
      <c r="F233" s="5" t="s">
        <v>1637</v>
      </c>
      <c r="G233" s="5" t="b">
        <v>1</v>
      </c>
    </row>
    <row r="234" spans="1:7" hidden="1">
      <c r="A234" s="14">
        <v>235</v>
      </c>
      <c r="B234" s="15" t="s">
        <v>1547</v>
      </c>
      <c r="C234" s="15" t="s">
        <v>186</v>
      </c>
      <c r="D234" s="15" t="s">
        <v>187</v>
      </c>
      <c r="E234" s="15" t="s">
        <v>630</v>
      </c>
      <c r="F234" s="15" t="s">
        <v>699</v>
      </c>
      <c r="G234" s="15"/>
    </row>
    <row r="235" spans="1:7" hidden="1">
      <c r="A235" s="4">
        <v>236</v>
      </c>
      <c r="B235" s="5" t="s">
        <v>1548</v>
      </c>
      <c r="C235" s="5" t="s">
        <v>189</v>
      </c>
      <c r="D235" s="5" t="s">
        <v>190</v>
      </c>
      <c r="E235" s="5" t="s">
        <v>630</v>
      </c>
      <c r="F235" s="5" t="s">
        <v>700</v>
      </c>
      <c r="G235" s="5" t="b">
        <v>1</v>
      </c>
    </row>
    <row r="236" spans="1:7" hidden="1">
      <c r="A236" s="14">
        <v>237</v>
      </c>
      <c r="B236" s="15" t="s">
        <v>1551</v>
      </c>
      <c r="C236" s="15" t="s">
        <v>192</v>
      </c>
      <c r="D236" s="15" t="s">
        <v>193</v>
      </c>
      <c r="E236" s="15" t="s">
        <v>630</v>
      </c>
      <c r="F236" s="15" t="s">
        <v>701</v>
      </c>
      <c r="G236" s="15" t="b">
        <v>1</v>
      </c>
    </row>
    <row r="237" spans="1:7" hidden="1">
      <c r="A237" s="4">
        <v>238</v>
      </c>
      <c r="B237" s="5" t="s">
        <v>1553</v>
      </c>
      <c r="C237" s="5" t="s">
        <v>499</v>
      </c>
      <c r="D237" s="5" t="s">
        <v>500</v>
      </c>
      <c r="E237" s="5" t="s">
        <v>630</v>
      </c>
      <c r="F237" s="5" t="s">
        <v>979</v>
      </c>
      <c r="G237" s="5" t="b">
        <v>1</v>
      </c>
    </row>
    <row r="238" spans="1:7" hidden="1">
      <c r="A238" s="14">
        <v>239</v>
      </c>
      <c r="B238" s="15" t="s">
        <v>1553</v>
      </c>
      <c r="C238" s="15" t="s">
        <v>499</v>
      </c>
      <c r="D238" s="15" t="s">
        <v>500</v>
      </c>
      <c r="E238" s="15" t="s">
        <v>630</v>
      </c>
      <c r="F238" s="15" t="s">
        <v>981</v>
      </c>
      <c r="G238" s="15" t="b">
        <v>1</v>
      </c>
    </row>
    <row r="239" spans="1:7" hidden="1">
      <c r="A239" s="4">
        <v>240</v>
      </c>
      <c r="B239" s="5" t="s">
        <v>1554</v>
      </c>
      <c r="C239" s="5" t="s">
        <v>195</v>
      </c>
      <c r="D239" s="5" t="s">
        <v>196</v>
      </c>
      <c r="E239" s="5" t="s">
        <v>630</v>
      </c>
      <c r="F239" s="5" t="s">
        <v>704</v>
      </c>
      <c r="G239" s="5"/>
    </row>
    <row r="240" spans="1:7" hidden="1">
      <c r="A240" s="14">
        <v>241</v>
      </c>
      <c r="B240" s="15" t="s">
        <v>1555</v>
      </c>
      <c r="C240" s="15" t="s">
        <v>198</v>
      </c>
      <c r="D240" s="15" t="s">
        <v>198</v>
      </c>
      <c r="E240" s="15" t="s">
        <v>630</v>
      </c>
      <c r="F240" s="15" t="s">
        <v>705</v>
      </c>
      <c r="G240" s="15" t="b">
        <v>1</v>
      </c>
    </row>
    <row r="241" spans="1:7" hidden="1">
      <c r="A241" s="4">
        <v>242</v>
      </c>
      <c r="B241" s="5" t="s">
        <v>1556</v>
      </c>
      <c r="C241" s="5" t="s">
        <v>506</v>
      </c>
      <c r="D241" s="5" t="s">
        <v>507</v>
      </c>
      <c r="E241" s="5" t="s">
        <v>630</v>
      </c>
      <c r="F241" s="5" t="s">
        <v>706</v>
      </c>
      <c r="G241" s="5" t="s">
        <v>1472</v>
      </c>
    </row>
    <row r="242" spans="1:7" hidden="1">
      <c r="A242" s="14">
        <v>243</v>
      </c>
      <c r="B242" s="15" t="s">
        <v>1556</v>
      </c>
      <c r="C242" s="15" t="s">
        <v>506</v>
      </c>
      <c r="D242" s="15" t="s">
        <v>507</v>
      </c>
      <c r="E242" s="15" t="s">
        <v>630</v>
      </c>
      <c r="F242" s="15" t="s">
        <v>707</v>
      </c>
      <c r="G242" s="5" t="s">
        <v>1472</v>
      </c>
    </row>
    <row r="243" spans="1:7" hidden="1">
      <c r="A243" s="4">
        <v>244</v>
      </c>
      <c r="B243" s="5" t="s">
        <v>1557</v>
      </c>
      <c r="C243" s="5" t="s">
        <v>200</v>
      </c>
      <c r="D243" s="5" t="s">
        <v>201</v>
      </c>
      <c r="E243" s="5" t="s">
        <v>630</v>
      </c>
      <c r="F243" s="5" t="s">
        <v>1638</v>
      </c>
      <c r="G243" s="5" t="b">
        <v>1</v>
      </c>
    </row>
    <row r="244" spans="1:7" hidden="1">
      <c r="A244" s="14">
        <v>245</v>
      </c>
      <c r="B244" s="15" t="s">
        <v>1558</v>
      </c>
      <c r="C244" s="15" t="s">
        <v>511</v>
      </c>
      <c r="D244" s="15" t="s">
        <v>512</v>
      </c>
      <c r="E244" s="15" t="s">
        <v>630</v>
      </c>
      <c r="F244" s="15" t="s">
        <v>709</v>
      </c>
      <c r="G244" s="15" t="b">
        <v>1</v>
      </c>
    </row>
    <row r="245" spans="1:7" hidden="1">
      <c r="A245" s="4">
        <v>246</v>
      </c>
      <c r="B245" s="5" t="s">
        <v>1559</v>
      </c>
      <c r="C245" s="5" t="s">
        <v>203</v>
      </c>
      <c r="D245" s="5" t="s">
        <v>204</v>
      </c>
      <c r="E245" s="5" t="s">
        <v>630</v>
      </c>
      <c r="F245" s="5" t="s">
        <v>1204</v>
      </c>
      <c r="G245" s="5" t="b">
        <v>1</v>
      </c>
    </row>
    <row r="246" spans="1:7" hidden="1">
      <c r="A246" s="14">
        <v>247</v>
      </c>
      <c r="B246" s="15" t="s">
        <v>1560</v>
      </c>
      <c r="C246" s="15" t="s">
        <v>206</v>
      </c>
      <c r="D246" s="15" t="s">
        <v>207</v>
      </c>
      <c r="E246" s="15" t="s">
        <v>630</v>
      </c>
      <c r="F246" s="15" t="s">
        <v>711</v>
      </c>
      <c r="G246" s="15" t="b">
        <v>1</v>
      </c>
    </row>
    <row r="247" spans="1:7" hidden="1">
      <c r="A247" s="4">
        <v>248</v>
      </c>
      <c r="B247" s="5" t="s">
        <v>1560</v>
      </c>
      <c r="C247" s="5" t="s">
        <v>206</v>
      </c>
      <c r="D247" s="5" t="s">
        <v>207</v>
      </c>
      <c r="E247" s="5" t="s">
        <v>630</v>
      </c>
      <c r="F247" s="5" t="s">
        <v>712</v>
      </c>
      <c r="G247" s="5" t="b">
        <v>1</v>
      </c>
    </row>
    <row r="248" spans="1:7" hidden="1">
      <c r="A248" s="14">
        <v>249</v>
      </c>
      <c r="B248" s="15" t="s">
        <v>1561</v>
      </c>
      <c r="C248" s="15" t="s">
        <v>209</v>
      </c>
      <c r="D248" s="15" t="s">
        <v>210</v>
      </c>
      <c r="E248" s="15" t="s">
        <v>630</v>
      </c>
      <c r="F248" s="15" t="s">
        <v>713</v>
      </c>
      <c r="G248" s="15" t="b">
        <v>1</v>
      </c>
    </row>
    <row r="249" spans="1:7" hidden="1">
      <c r="A249" s="4">
        <v>250</v>
      </c>
      <c r="B249" s="5" t="s">
        <v>1562</v>
      </c>
      <c r="C249" s="5" t="s">
        <v>212</v>
      </c>
      <c r="D249" s="5" t="s">
        <v>213</v>
      </c>
      <c r="E249" s="5" t="s">
        <v>630</v>
      </c>
      <c r="F249" s="5" t="s">
        <v>714</v>
      </c>
      <c r="G249" s="5" t="b">
        <v>1</v>
      </c>
    </row>
    <row r="250" spans="1:7" hidden="1">
      <c r="A250" s="14">
        <v>251</v>
      </c>
      <c r="B250" s="15" t="s">
        <v>1564</v>
      </c>
      <c r="C250" s="15" t="s">
        <v>218</v>
      </c>
      <c r="D250" s="15" t="s">
        <v>219</v>
      </c>
      <c r="E250" s="15" t="s">
        <v>630</v>
      </c>
      <c r="F250" s="15" t="s">
        <v>1639</v>
      </c>
      <c r="G250" s="15" t="b">
        <v>1</v>
      </c>
    </row>
    <row r="251" spans="1:7" hidden="1">
      <c r="A251" s="4">
        <v>252</v>
      </c>
      <c r="B251" s="5" t="s">
        <v>1566</v>
      </c>
      <c r="C251" s="5" t="s">
        <v>521</v>
      </c>
      <c r="D251" s="5" t="s">
        <v>522</v>
      </c>
      <c r="E251" s="5" t="s">
        <v>630</v>
      </c>
      <c r="F251" s="5" t="s">
        <v>1640</v>
      </c>
      <c r="G251" s="5" t="b">
        <v>1</v>
      </c>
    </row>
    <row r="252" spans="1:7" hidden="1">
      <c r="A252" s="14">
        <v>253</v>
      </c>
      <c r="B252" s="15" t="s">
        <v>1566</v>
      </c>
      <c r="C252" s="15" t="s">
        <v>521</v>
      </c>
      <c r="D252" s="15" t="s">
        <v>522</v>
      </c>
      <c r="E252" s="15" t="s">
        <v>630</v>
      </c>
      <c r="F252" s="15" t="s">
        <v>1641</v>
      </c>
      <c r="G252" s="15" t="b">
        <v>1</v>
      </c>
    </row>
    <row r="253" spans="1:7" hidden="1">
      <c r="A253" s="4">
        <v>254</v>
      </c>
      <c r="B253" s="5" t="s">
        <v>1568</v>
      </c>
      <c r="C253" s="5" t="s">
        <v>221</v>
      </c>
      <c r="D253" s="5" t="s">
        <v>222</v>
      </c>
      <c r="E253" s="5" t="s">
        <v>630</v>
      </c>
      <c r="F253" s="55" t="s">
        <v>718</v>
      </c>
      <c r="G253" s="15" t="b">
        <v>1</v>
      </c>
    </row>
    <row r="254" spans="1:7" hidden="1">
      <c r="A254" s="14">
        <v>255</v>
      </c>
      <c r="B254" s="15" t="s">
        <v>1571</v>
      </c>
      <c r="C254" s="15" t="s">
        <v>224</v>
      </c>
      <c r="D254" s="15" t="s">
        <v>225</v>
      </c>
      <c r="E254" s="15" t="s">
        <v>630</v>
      </c>
      <c r="F254" s="15" t="s">
        <v>719</v>
      </c>
      <c r="G254" s="15" t="b">
        <v>1</v>
      </c>
    </row>
    <row r="255" spans="1:7" hidden="1">
      <c r="A255" s="4">
        <v>256</v>
      </c>
      <c r="B255" s="5" t="s">
        <v>1571</v>
      </c>
      <c r="C255" s="5" t="s">
        <v>224</v>
      </c>
      <c r="D255" s="5" t="s">
        <v>225</v>
      </c>
      <c r="E255" s="5" t="s">
        <v>630</v>
      </c>
      <c r="F255" s="5" t="s">
        <v>720</v>
      </c>
      <c r="G255" s="5" t="b">
        <v>1</v>
      </c>
    </row>
    <row r="256" spans="1:7" hidden="1">
      <c r="A256" s="14">
        <v>257</v>
      </c>
      <c r="B256" s="15" t="s">
        <v>1572</v>
      </c>
      <c r="C256" s="15" t="s">
        <v>227</v>
      </c>
      <c r="D256" s="15" t="s">
        <v>228</v>
      </c>
      <c r="E256" s="15" t="s">
        <v>630</v>
      </c>
      <c r="F256" s="15" t="s">
        <v>721</v>
      </c>
      <c r="G256" s="15" t="b">
        <v>1</v>
      </c>
    </row>
    <row r="257" spans="1:7" hidden="1">
      <c r="A257" s="4">
        <v>258</v>
      </c>
      <c r="B257" s="5" t="s">
        <v>1463</v>
      </c>
      <c r="C257" s="5" t="s">
        <v>22</v>
      </c>
      <c r="D257" s="5" t="s">
        <v>23</v>
      </c>
      <c r="E257" s="5" t="s">
        <v>630</v>
      </c>
      <c r="F257" s="5" t="s">
        <v>722</v>
      </c>
      <c r="G257" s="5" t="b">
        <v>1</v>
      </c>
    </row>
    <row r="258" spans="1:7" hidden="1">
      <c r="A258" s="14">
        <v>259</v>
      </c>
      <c r="B258" s="15" t="s">
        <v>1463</v>
      </c>
      <c r="C258" s="15" t="s">
        <v>22</v>
      </c>
      <c r="D258" s="15" t="s">
        <v>23</v>
      </c>
      <c r="E258" s="15" t="s">
        <v>630</v>
      </c>
      <c r="F258" s="15" t="s">
        <v>723</v>
      </c>
      <c r="G258" s="15" t="b">
        <v>1</v>
      </c>
    </row>
    <row r="259" spans="1:7" hidden="1">
      <c r="A259" s="4">
        <v>260</v>
      </c>
      <c r="B259" s="5" t="s">
        <v>1576</v>
      </c>
      <c r="C259" s="5" t="s">
        <v>551</v>
      </c>
      <c r="D259" s="5" t="s">
        <v>552</v>
      </c>
      <c r="E259" s="5" t="s">
        <v>630</v>
      </c>
      <c r="F259" s="5" t="s">
        <v>1642</v>
      </c>
      <c r="G259" s="5" t="b">
        <v>1</v>
      </c>
    </row>
    <row r="260" spans="1:7" ht="24" hidden="1">
      <c r="A260" s="14">
        <v>261</v>
      </c>
      <c r="B260" s="15" t="s">
        <v>1577</v>
      </c>
      <c r="C260" s="15" t="s">
        <v>233</v>
      </c>
      <c r="D260" s="15" t="s">
        <v>234</v>
      </c>
      <c r="E260" s="15" t="s">
        <v>630</v>
      </c>
      <c r="F260" s="24" t="s">
        <v>1643</v>
      </c>
      <c r="G260" s="24"/>
    </row>
    <row r="261" spans="1:7" ht="24" hidden="1">
      <c r="A261" s="4">
        <v>262</v>
      </c>
      <c r="B261" s="5" t="s">
        <v>1577</v>
      </c>
      <c r="C261" s="5" t="s">
        <v>233</v>
      </c>
      <c r="D261" s="5" t="s">
        <v>234</v>
      </c>
      <c r="E261" s="5" t="s">
        <v>630</v>
      </c>
      <c r="F261" s="23" t="s">
        <v>1644</v>
      </c>
      <c r="G261" s="23"/>
    </row>
    <row r="262" spans="1:7" hidden="1">
      <c r="A262" s="14">
        <v>263</v>
      </c>
      <c r="B262" s="15" t="s">
        <v>1581</v>
      </c>
      <c r="C262" s="15" t="s">
        <v>236</v>
      </c>
      <c r="D262" s="15" t="s">
        <v>237</v>
      </c>
      <c r="E262" s="15" t="s">
        <v>630</v>
      </c>
      <c r="F262" s="15" t="s">
        <v>727</v>
      </c>
      <c r="G262" s="15" t="b">
        <v>1</v>
      </c>
    </row>
    <row r="263" spans="1:7" hidden="1">
      <c r="A263" s="4">
        <v>264</v>
      </c>
      <c r="B263" s="5" t="s">
        <v>1582</v>
      </c>
      <c r="C263" s="5" t="s">
        <v>239</v>
      </c>
      <c r="D263" s="5" t="s">
        <v>240</v>
      </c>
      <c r="E263" s="5" t="s">
        <v>630</v>
      </c>
      <c r="F263" s="5" t="s">
        <v>728</v>
      </c>
      <c r="G263" s="5"/>
    </row>
    <row r="264" spans="1:7" hidden="1">
      <c r="A264" s="14">
        <v>265</v>
      </c>
      <c r="B264" s="15" t="s">
        <v>1583</v>
      </c>
      <c r="C264" s="15" t="s">
        <v>242</v>
      </c>
      <c r="D264" s="15" t="s">
        <v>243</v>
      </c>
      <c r="E264" s="15" t="s">
        <v>630</v>
      </c>
      <c r="F264" s="15" t="s">
        <v>1645</v>
      </c>
      <c r="G264" s="15"/>
    </row>
    <row r="265" spans="1:7" hidden="1">
      <c r="A265" s="4">
        <v>266</v>
      </c>
      <c r="B265" s="5" t="s">
        <v>1584</v>
      </c>
      <c r="C265" s="5" t="s">
        <v>570</v>
      </c>
      <c r="D265" s="5" t="s">
        <v>571</v>
      </c>
      <c r="E265" s="5" t="s">
        <v>630</v>
      </c>
      <c r="F265" s="5" t="s">
        <v>730</v>
      </c>
      <c r="G265" s="5"/>
    </row>
    <row r="266" spans="1:7" hidden="1">
      <c r="A266" s="14">
        <v>267</v>
      </c>
      <c r="B266" s="15" t="s">
        <v>1584</v>
      </c>
      <c r="C266" s="15" t="s">
        <v>570</v>
      </c>
      <c r="D266" s="15" t="s">
        <v>571</v>
      </c>
      <c r="E266" s="15" t="s">
        <v>630</v>
      </c>
      <c r="F266" s="15" t="s">
        <v>731</v>
      </c>
      <c r="G266" s="15"/>
    </row>
    <row r="267" spans="1:7" hidden="1">
      <c r="A267" s="4">
        <v>268</v>
      </c>
      <c r="B267" s="5" t="s">
        <v>1585</v>
      </c>
      <c r="C267" s="5" t="s">
        <v>245</v>
      </c>
      <c r="D267" s="5" t="s">
        <v>246</v>
      </c>
      <c r="E267" s="5" t="s">
        <v>630</v>
      </c>
      <c r="F267" s="5" t="s">
        <v>732</v>
      </c>
      <c r="G267" s="5"/>
    </row>
    <row r="268" spans="1:7" hidden="1">
      <c r="A268" s="14">
        <v>269</v>
      </c>
      <c r="B268" s="15" t="s">
        <v>1587</v>
      </c>
      <c r="C268" s="15" t="s">
        <v>248</v>
      </c>
      <c r="D268" s="15" t="s">
        <v>249</v>
      </c>
      <c r="E268" s="15" t="s">
        <v>630</v>
      </c>
      <c r="F268" s="15" t="s">
        <v>1646</v>
      </c>
      <c r="G268" s="15" t="b">
        <v>1</v>
      </c>
    </row>
    <row r="269" spans="1:7" hidden="1">
      <c r="A269" s="4">
        <v>270</v>
      </c>
      <c r="B269" s="5" t="s">
        <v>1587</v>
      </c>
      <c r="C269" s="5" t="s">
        <v>248</v>
      </c>
      <c r="D269" s="5" t="s">
        <v>249</v>
      </c>
      <c r="E269" s="5" t="s">
        <v>630</v>
      </c>
      <c r="F269" s="5" t="s">
        <v>1647</v>
      </c>
      <c r="G269" s="5" t="b">
        <v>1</v>
      </c>
    </row>
    <row r="270" spans="1:7" hidden="1">
      <c r="A270" s="14">
        <v>271</v>
      </c>
      <c r="B270" s="15" t="s">
        <v>1588</v>
      </c>
      <c r="C270" s="15" t="s">
        <v>251</v>
      </c>
      <c r="D270" s="15" t="s">
        <v>252</v>
      </c>
      <c r="E270" s="15" t="s">
        <v>630</v>
      </c>
      <c r="F270" s="15" t="s">
        <v>728</v>
      </c>
      <c r="G270" s="15"/>
    </row>
    <row r="271" spans="1:7" hidden="1">
      <c r="A271" s="4">
        <v>272</v>
      </c>
      <c r="B271" s="5" t="s">
        <v>1588</v>
      </c>
      <c r="C271" s="5" t="s">
        <v>251</v>
      </c>
      <c r="D271" s="5" t="s">
        <v>252</v>
      </c>
      <c r="E271" s="5" t="s">
        <v>630</v>
      </c>
      <c r="F271" s="5" t="s">
        <v>728</v>
      </c>
      <c r="G271" s="5"/>
    </row>
    <row r="272" spans="1:7" hidden="1">
      <c r="A272" s="14">
        <v>273</v>
      </c>
      <c r="B272" s="15" t="s">
        <v>1591</v>
      </c>
      <c r="C272" s="15" t="s">
        <v>260</v>
      </c>
      <c r="D272" s="15" t="s">
        <v>261</v>
      </c>
      <c r="E272" s="15" t="s">
        <v>630</v>
      </c>
      <c r="F272" s="15" t="s">
        <v>737</v>
      </c>
      <c r="G272" s="15" t="b">
        <v>1</v>
      </c>
    </row>
    <row r="273" spans="1:7" hidden="1">
      <c r="A273" s="4">
        <v>274</v>
      </c>
      <c r="B273" s="5" t="s">
        <v>1648</v>
      </c>
      <c r="C273" s="5" t="s">
        <v>594</v>
      </c>
      <c r="D273" s="5" t="s">
        <v>595</v>
      </c>
      <c r="E273" s="5" t="s">
        <v>630</v>
      </c>
      <c r="F273" s="5" t="s">
        <v>738</v>
      </c>
      <c r="G273" s="5" t="b">
        <v>1</v>
      </c>
    </row>
    <row r="274" spans="1:7" hidden="1">
      <c r="A274" s="14">
        <v>275</v>
      </c>
      <c r="B274" s="15" t="s">
        <v>1648</v>
      </c>
      <c r="C274" s="15" t="s">
        <v>594</v>
      </c>
      <c r="D274" s="15" t="s">
        <v>595</v>
      </c>
      <c r="E274" s="15" t="s">
        <v>630</v>
      </c>
      <c r="F274" s="15" t="s">
        <v>596</v>
      </c>
      <c r="G274" s="15" t="b">
        <v>1</v>
      </c>
    </row>
    <row r="275" spans="1:7" hidden="1">
      <c r="A275" s="4">
        <v>276</v>
      </c>
      <c r="B275" s="5" t="s">
        <v>1596</v>
      </c>
      <c r="C275" s="5" t="s">
        <v>269</v>
      </c>
      <c r="D275" s="5" t="s">
        <v>270</v>
      </c>
      <c r="E275" s="5" t="s">
        <v>630</v>
      </c>
      <c r="F275" s="5" t="s">
        <v>1649</v>
      </c>
      <c r="G275" s="5" t="b">
        <v>1</v>
      </c>
    </row>
    <row r="276" spans="1:7" hidden="1">
      <c r="A276" s="14">
        <v>277</v>
      </c>
      <c r="B276" s="15" t="s">
        <v>1596</v>
      </c>
      <c r="C276" s="15" t="s">
        <v>269</v>
      </c>
      <c r="D276" s="15" t="s">
        <v>270</v>
      </c>
      <c r="E276" s="15" t="s">
        <v>630</v>
      </c>
      <c r="F276" s="15" t="s">
        <v>1650</v>
      </c>
      <c r="G276" s="15" t="b">
        <v>1</v>
      </c>
    </row>
    <row r="277" spans="1:7" hidden="1">
      <c r="A277" s="4">
        <v>278</v>
      </c>
      <c r="B277" s="5" t="s">
        <v>1598</v>
      </c>
      <c r="C277" s="5" t="s">
        <v>272</v>
      </c>
      <c r="D277" s="5" t="s">
        <v>273</v>
      </c>
      <c r="E277" s="5" t="s">
        <v>630</v>
      </c>
      <c r="F277" s="5" t="s">
        <v>741</v>
      </c>
      <c r="G277" s="5" t="b">
        <v>1</v>
      </c>
    </row>
    <row r="278" spans="1:7" hidden="1">
      <c r="A278" s="14">
        <v>279</v>
      </c>
      <c r="B278" s="15" t="s">
        <v>1599</v>
      </c>
      <c r="C278" s="15" t="s">
        <v>275</v>
      </c>
      <c r="D278" s="15" t="s">
        <v>276</v>
      </c>
      <c r="E278" s="15" t="s">
        <v>630</v>
      </c>
      <c r="F278" s="15" t="s">
        <v>742</v>
      </c>
      <c r="G278" s="15" t="b">
        <v>1</v>
      </c>
    </row>
    <row r="279" spans="1:7" hidden="1">
      <c r="A279" s="4">
        <v>280</v>
      </c>
      <c r="B279" s="5" t="s">
        <v>1600</v>
      </c>
      <c r="C279" s="5" t="s">
        <v>278</v>
      </c>
      <c r="D279" s="5" t="s">
        <v>278</v>
      </c>
      <c r="E279" s="5" t="s">
        <v>630</v>
      </c>
      <c r="F279" s="5" t="s">
        <v>743</v>
      </c>
      <c r="G279" s="5"/>
    </row>
    <row r="280" spans="1:7" hidden="1">
      <c r="A280" s="14">
        <v>281</v>
      </c>
      <c r="B280" s="15" t="s">
        <v>1601</v>
      </c>
      <c r="C280" s="15" t="s">
        <v>280</v>
      </c>
      <c r="D280" s="15" t="s">
        <v>281</v>
      </c>
      <c r="E280" s="15" t="s">
        <v>630</v>
      </c>
      <c r="F280" s="15" t="s">
        <v>744</v>
      </c>
      <c r="G280" s="15" t="b">
        <v>1</v>
      </c>
    </row>
    <row r="281" spans="1:7" hidden="1">
      <c r="A281" s="4">
        <v>282</v>
      </c>
      <c r="B281" s="5" t="s">
        <v>1603</v>
      </c>
      <c r="C281" s="5" t="s">
        <v>609</v>
      </c>
      <c r="D281" s="5" t="s">
        <v>610</v>
      </c>
      <c r="E281" s="5" t="s">
        <v>630</v>
      </c>
      <c r="F281" s="5"/>
      <c r="G281" s="5"/>
    </row>
    <row r="282" spans="1:7" hidden="1">
      <c r="A282" s="14">
        <v>283</v>
      </c>
      <c r="B282" s="15" t="s">
        <v>1606</v>
      </c>
      <c r="C282" s="15" t="s">
        <v>289</v>
      </c>
      <c r="D282" s="15" t="s">
        <v>290</v>
      </c>
      <c r="E282" s="15" t="s">
        <v>630</v>
      </c>
      <c r="F282" s="15" t="s">
        <v>746</v>
      </c>
      <c r="G282" s="15" t="b">
        <v>1</v>
      </c>
    </row>
    <row r="283" spans="1:7" hidden="1">
      <c r="A283" s="4">
        <v>284</v>
      </c>
      <c r="B283" s="5" t="s">
        <v>1607</v>
      </c>
      <c r="C283" s="5" t="s">
        <v>292</v>
      </c>
      <c r="D283" s="5" t="s">
        <v>293</v>
      </c>
      <c r="E283" s="5" t="s">
        <v>630</v>
      </c>
      <c r="F283" s="5" t="s">
        <v>747</v>
      </c>
      <c r="G283" s="5" t="b">
        <v>1</v>
      </c>
    </row>
    <row r="284" spans="1:7" hidden="1">
      <c r="A284" s="14">
        <v>285</v>
      </c>
      <c r="B284" s="15" t="s">
        <v>1607</v>
      </c>
      <c r="C284" s="15" t="s">
        <v>292</v>
      </c>
      <c r="D284" s="15" t="s">
        <v>293</v>
      </c>
      <c r="E284" s="15" t="s">
        <v>630</v>
      </c>
      <c r="F284" s="15" t="s">
        <v>748</v>
      </c>
      <c r="G284" s="15" t="b">
        <v>1</v>
      </c>
    </row>
    <row r="285" spans="1:7" hidden="1">
      <c r="A285" s="4">
        <v>286</v>
      </c>
      <c r="B285" s="5" t="s">
        <v>1608</v>
      </c>
      <c r="C285" s="5" t="s">
        <v>295</v>
      </c>
      <c r="D285" s="5" t="s">
        <v>296</v>
      </c>
      <c r="E285" s="5" t="s">
        <v>630</v>
      </c>
      <c r="F285" s="5" t="s">
        <v>749</v>
      </c>
      <c r="G285" s="5"/>
    </row>
    <row r="286" spans="1:7" hidden="1">
      <c r="A286" s="14">
        <v>287</v>
      </c>
      <c r="B286" s="15" t="s">
        <v>1608</v>
      </c>
      <c r="C286" s="15" t="s">
        <v>295</v>
      </c>
      <c r="D286" s="15" t="s">
        <v>296</v>
      </c>
      <c r="E286" s="15" t="s">
        <v>630</v>
      </c>
      <c r="F286" s="15" t="s">
        <v>750</v>
      </c>
      <c r="G286" s="15"/>
    </row>
    <row r="287" spans="1:7" hidden="1">
      <c r="A287" s="4">
        <v>288</v>
      </c>
      <c r="B287" s="5" t="s">
        <v>1609</v>
      </c>
      <c r="C287" s="5" t="s">
        <v>298</v>
      </c>
      <c r="D287" s="5" t="s">
        <v>299</v>
      </c>
      <c r="E287" s="5" t="s">
        <v>630</v>
      </c>
      <c r="F287" s="5" t="s">
        <v>751</v>
      </c>
      <c r="G287" s="5" t="b">
        <v>1</v>
      </c>
    </row>
    <row r="288" spans="1:7" hidden="1">
      <c r="A288" s="14">
        <v>289</v>
      </c>
      <c r="B288" s="15" t="s">
        <v>1609</v>
      </c>
      <c r="C288" s="15" t="s">
        <v>298</v>
      </c>
      <c r="D288" s="15" t="s">
        <v>299</v>
      </c>
      <c r="E288" s="15" t="s">
        <v>630</v>
      </c>
      <c r="F288" s="15" t="s">
        <v>752</v>
      </c>
      <c r="G288" s="15" t="b">
        <v>1</v>
      </c>
    </row>
    <row r="289" spans="1:7" hidden="1">
      <c r="A289" s="4">
        <v>290</v>
      </c>
      <c r="B289" s="5" t="s">
        <v>1610</v>
      </c>
      <c r="C289" s="5" t="s">
        <v>301</v>
      </c>
      <c r="D289" s="5" t="s">
        <v>302</v>
      </c>
      <c r="E289" s="5" t="s">
        <v>630</v>
      </c>
      <c r="F289" s="5" t="s">
        <v>753</v>
      </c>
      <c r="G289" s="5" t="b">
        <v>1</v>
      </c>
    </row>
    <row r="290" spans="1:7" hidden="1">
      <c r="A290" s="14">
        <v>291</v>
      </c>
      <c r="B290" s="15" t="s">
        <v>1611</v>
      </c>
      <c r="C290" s="15" t="s">
        <v>304</v>
      </c>
      <c r="D290" s="15" t="s">
        <v>305</v>
      </c>
      <c r="E290" s="15" t="s">
        <v>630</v>
      </c>
      <c r="F290" s="15" t="s">
        <v>1651</v>
      </c>
      <c r="G290" s="15"/>
    </row>
    <row r="291" spans="1:7" hidden="1">
      <c r="A291" s="4">
        <v>292</v>
      </c>
      <c r="B291" s="5" t="s">
        <v>1611</v>
      </c>
      <c r="C291" s="5" t="s">
        <v>304</v>
      </c>
      <c r="D291" s="5" t="s">
        <v>305</v>
      </c>
      <c r="E291" s="5" t="s">
        <v>630</v>
      </c>
      <c r="F291" s="5" t="s">
        <v>1652</v>
      </c>
      <c r="G291" s="5" t="b">
        <v>1</v>
      </c>
    </row>
    <row r="292" spans="1:7" hidden="1">
      <c r="A292" s="14">
        <v>293</v>
      </c>
      <c r="B292" s="15" t="s">
        <v>1612</v>
      </c>
      <c r="C292" s="15" t="s">
        <v>624</v>
      </c>
      <c r="D292" s="15" t="s">
        <v>625</v>
      </c>
      <c r="E292" s="15" t="s">
        <v>630</v>
      </c>
      <c r="F292" s="15" t="s">
        <v>756</v>
      </c>
      <c r="G292" s="15" t="b">
        <v>1</v>
      </c>
    </row>
    <row r="293" spans="1:7" hidden="1">
      <c r="A293" s="4">
        <v>294</v>
      </c>
      <c r="B293" s="5" t="s">
        <v>1613</v>
      </c>
      <c r="C293" s="5" t="s">
        <v>307</v>
      </c>
      <c r="D293" s="5" t="s">
        <v>307</v>
      </c>
      <c r="E293" s="5" t="s">
        <v>630</v>
      </c>
      <c r="F293" s="5" t="s">
        <v>757</v>
      </c>
      <c r="G293" s="5"/>
    </row>
    <row r="294" spans="1:7" hidden="1">
      <c r="A294" s="14">
        <v>295</v>
      </c>
      <c r="B294" s="15" t="s">
        <v>1614</v>
      </c>
      <c r="C294" s="15" t="s">
        <v>309</v>
      </c>
      <c r="D294" s="15" t="s">
        <v>310</v>
      </c>
      <c r="E294" s="15" t="s">
        <v>630</v>
      </c>
      <c r="F294" s="15" t="s">
        <v>758</v>
      </c>
      <c r="G294" s="15" t="b">
        <v>1</v>
      </c>
    </row>
    <row r="295" spans="1:7" hidden="1">
      <c r="A295" s="4">
        <v>296</v>
      </c>
      <c r="B295" s="5" t="s">
        <v>1615</v>
      </c>
      <c r="C295" s="5" t="s">
        <v>312</v>
      </c>
      <c r="D295" s="5" t="s">
        <v>313</v>
      </c>
      <c r="E295" s="5" t="s">
        <v>630</v>
      </c>
      <c r="F295" s="5" t="s">
        <v>1653</v>
      </c>
      <c r="G295" s="5"/>
    </row>
    <row r="296" spans="1:7" hidden="1">
      <c r="A296" s="14">
        <v>297</v>
      </c>
      <c r="B296" s="15" t="s">
        <v>1615</v>
      </c>
      <c r="C296" s="15" t="s">
        <v>312</v>
      </c>
      <c r="D296" s="15" t="s">
        <v>313</v>
      </c>
      <c r="E296" s="15" t="s">
        <v>630</v>
      </c>
      <c r="F296" s="15" t="s">
        <v>1654</v>
      </c>
      <c r="G296" s="15"/>
    </row>
    <row r="297" spans="1:7" hidden="1">
      <c r="A297" s="4">
        <v>298</v>
      </c>
      <c r="B297" s="5" t="s">
        <v>1464</v>
      </c>
      <c r="C297" s="5" t="s">
        <v>128</v>
      </c>
      <c r="D297" s="5" t="s">
        <v>129</v>
      </c>
      <c r="E297" s="5" t="s">
        <v>761</v>
      </c>
      <c r="F297" s="5" t="s">
        <v>762</v>
      </c>
      <c r="G297" s="5"/>
    </row>
    <row r="298" spans="1:7" hidden="1">
      <c r="A298" s="16">
        <v>299</v>
      </c>
      <c r="B298" s="17" t="s">
        <v>1465</v>
      </c>
      <c r="C298" s="17" t="s">
        <v>146</v>
      </c>
      <c r="D298" s="17" t="s">
        <v>147</v>
      </c>
      <c r="E298" s="17" t="s">
        <v>761</v>
      </c>
      <c r="F298" s="17" t="s">
        <v>763</v>
      </c>
      <c r="G298" s="17"/>
    </row>
    <row r="299" spans="1:7" hidden="1">
      <c r="A299" s="4">
        <v>300</v>
      </c>
      <c r="B299" s="5" t="s">
        <v>1466</v>
      </c>
      <c r="C299" s="5" t="s">
        <v>153</v>
      </c>
      <c r="D299" s="5" t="s">
        <v>154</v>
      </c>
      <c r="E299" s="5" t="s">
        <v>761</v>
      </c>
      <c r="F299" s="5" t="s">
        <v>764</v>
      </c>
      <c r="G299" s="5"/>
    </row>
    <row r="300" spans="1:7" hidden="1">
      <c r="A300" s="16">
        <v>301</v>
      </c>
      <c r="B300" s="17" t="s">
        <v>1467</v>
      </c>
      <c r="C300" s="17" t="s">
        <v>167</v>
      </c>
      <c r="D300" s="17" t="s">
        <v>168</v>
      </c>
      <c r="E300" s="17" t="s">
        <v>761</v>
      </c>
      <c r="F300" s="17" t="s">
        <v>765</v>
      </c>
      <c r="G300" s="17"/>
    </row>
    <row r="301" spans="1:7" hidden="1">
      <c r="A301" s="4">
        <v>302</v>
      </c>
      <c r="B301" s="5"/>
      <c r="C301" s="5"/>
      <c r="D301" s="5"/>
      <c r="E301" s="5"/>
      <c r="F301" s="5"/>
      <c r="G301" s="5"/>
    </row>
    <row r="302" spans="1:7" hidden="1">
      <c r="A302" s="21">
        <v>303</v>
      </c>
      <c r="B302" s="22"/>
      <c r="C302" s="22"/>
      <c r="D302" s="22"/>
      <c r="E302" s="22"/>
      <c r="F302" s="22"/>
      <c r="G302" s="22"/>
    </row>
  </sheetData>
  <autoFilter ref="A1:G302" xr:uid="{097DDD63-F1F5-4634-85FE-9800FEA77D32}">
    <filterColumn colId="4">
      <filters>
        <filter val="Laptop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3C6BB-3295-4232-BD69-D2B9114239A5}">
  <dimension ref="A3:B31"/>
  <sheetViews>
    <sheetView workbookViewId="0">
      <selection activeCell="A17" sqref="A17:B31"/>
    </sheetView>
  </sheetViews>
  <sheetFormatPr defaultRowHeight="15"/>
  <cols>
    <col min="1" max="1" width="28.5703125" customWidth="1"/>
    <col min="2" max="2" width="33" customWidth="1"/>
    <col min="3" max="3" width="7.42578125" bestFit="1" customWidth="1"/>
    <col min="4" max="5" width="11.7109375" bestFit="1" customWidth="1"/>
    <col min="6" max="6" width="17.140625" bestFit="1" customWidth="1"/>
    <col min="7" max="10" width="17.5703125" bestFit="1" customWidth="1"/>
    <col min="11" max="37" width="17.140625" bestFit="1" customWidth="1"/>
    <col min="38" max="38" width="18.28515625" bestFit="1" customWidth="1"/>
    <col min="39" max="42" width="17.140625" bestFit="1" customWidth="1"/>
    <col min="43" max="43" width="18.28515625" bestFit="1" customWidth="1"/>
    <col min="44" max="55" width="18.140625" bestFit="1" customWidth="1"/>
    <col min="56" max="57" width="18.28515625" bestFit="1" customWidth="1"/>
    <col min="58" max="59" width="16.5703125" bestFit="1" customWidth="1"/>
    <col min="60" max="66" width="18.28515625" bestFit="1" customWidth="1"/>
    <col min="67" max="67" width="18.140625" bestFit="1" customWidth="1"/>
    <col min="68" max="68" width="15.42578125" bestFit="1" customWidth="1"/>
    <col min="69" max="69" width="13.28515625" bestFit="1" customWidth="1"/>
    <col min="70" max="70" width="14" bestFit="1" customWidth="1"/>
    <col min="71" max="71" width="12.42578125" bestFit="1" customWidth="1"/>
    <col min="72" max="72" width="28.42578125" bestFit="1" customWidth="1"/>
    <col min="73" max="73" width="14.85546875" bestFit="1" customWidth="1"/>
    <col min="74" max="74" width="14.7109375" bestFit="1" customWidth="1"/>
    <col min="75" max="75" width="11.5703125" bestFit="1" customWidth="1"/>
    <col min="76" max="76" width="13" bestFit="1" customWidth="1"/>
    <col min="77" max="77" width="13.42578125" bestFit="1" customWidth="1"/>
    <col min="78" max="78" width="11.5703125" bestFit="1" customWidth="1"/>
    <col min="79" max="79" width="13.7109375" bestFit="1" customWidth="1"/>
    <col min="80" max="80" width="16.140625" bestFit="1" customWidth="1"/>
    <col min="81" max="81" width="12.5703125" bestFit="1" customWidth="1"/>
    <col min="82" max="88" width="17" bestFit="1" customWidth="1"/>
    <col min="89" max="111" width="16.7109375" bestFit="1" customWidth="1"/>
    <col min="112" max="112" width="12.5703125" bestFit="1" customWidth="1"/>
    <col min="113" max="113" width="13" bestFit="1" customWidth="1"/>
    <col min="114" max="114" width="11.85546875" bestFit="1" customWidth="1"/>
    <col min="115" max="115" width="15.85546875" bestFit="1" customWidth="1"/>
    <col min="116" max="116" width="13.7109375" bestFit="1" customWidth="1"/>
    <col min="117" max="117" width="15.5703125" bestFit="1" customWidth="1"/>
    <col min="118" max="118" width="13.28515625" bestFit="1" customWidth="1"/>
    <col min="119" max="119" width="12.7109375" bestFit="1" customWidth="1"/>
    <col min="120" max="120" width="12.5703125" bestFit="1" customWidth="1"/>
    <col min="121" max="121" width="12.85546875" bestFit="1" customWidth="1"/>
    <col min="122" max="122" width="12.7109375" bestFit="1" customWidth="1"/>
    <col min="123" max="123" width="13.5703125" bestFit="1" customWidth="1"/>
    <col min="124" max="124" width="13.42578125" bestFit="1" customWidth="1"/>
    <col min="125" max="125" width="12.42578125" bestFit="1" customWidth="1"/>
    <col min="126" max="126" width="14" bestFit="1" customWidth="1"/>
    <col min="127" max="127" width="10.140625" bestFit="1" customWidth="1"/>
    <col min="128" max="128" width="10.42578125" bestFit="1" customWidth="1"/>
    <col min="129" max="129" width="13.5703125" bestFit="1" customWidth="1"/>
    <col min="130" max="131" width="15.42578125" bestFit="1" customWidth="1"/>
    <col min="132" max="132" width="12.42578125" bestFit="1" customWidth="1"/>
    <col min="133" max="133" width="13.28515625" bestFit="1" customWidth="1"/>
    <col min="134" max="134" width="13" bestFit="1" customWidth="1"/>
    <col min="135" max="135" width="11.7109375" bestFit="1" customWidth="1"/>
    <col min="136" max="136" width="11.140625" bestFit="1" customWidth="1"/>
    <col min="137" max="137" width="13.28515625" bestFit="1" customWidth="1"/>
    <col min="138" max="138" width="14.42578125" bestFit="1" customWidth="1"/>
    <col min="139" max="139" width="12.140625" bestFit="1" customWidth="1"/>
    <col min="140" max="140" width="14.7109375" bestFit="1" customWidth="1"/>
    <col min="141" max="141" width="13.85546875" bestFit="1" customWidth="1"/>
    <col min="142" max="142" width="12.5703125" bestFit="1" customWidth="1"/>
    <col min="143" max="143" width="12.42578125" bestFit="1" customWidth="1"/>
    <col min="144" max="145" width="13.42578125" bestFit="1" customWidth="1"/>
    <col min="146" max="146" width="13.85546875" bestFit="1" customWidth="1"/>
    <col min="147" max="147" width="13" bestFit="1" customWidth="1"/>
    <col min="148" max="148" width="12.85546875" bestFit="1" customWidth="1"/>
    <col min="149" max="149" width="12" bestFit="1" customWidth="1"/>
    <col min="150" max="150" width="14.140625" bestFit="1" customWidth="1"/>
    <col min="151" max="151" width="14.42578125" bestFit="1" customWidth="1"/>
    <col min="152" max="152" width="12.28515625" bestFit="1" customWidth="1"/>
    <col min="153" max="153" width="14" bestFit="1" customWidth="1"/>
    <col min="154" max="154" width="12.7109375" bestFit="1" customWidth="1"/>
    <col min="155" max="155" width="13.28515625" bestFit="1" customWidth="1"/>
    <col min="156" max="156" width="14.42578125" bestFit="1" customWidth="1"/>
    <col min="157" max="157" width="14.140625" bestFit="1" customWidth="1"/>
    <col min="158" max="158" width="13.28515625" bestFit="1" customWidth="1"/>
    <col min="159" max="159" width="13.85546875" bestFit="1" customWidth="1"/>
    <col min="160" max="160" width="12" bestFit="1" customWidth="1"/>
    <col min="161" max="161" width="12.85546875" bestFit="1" customWidth="1"/>
    <col min="162" max="162" width="14.5703125" bestFit="1" customWidth="1"/>
    <col min="163" max="163" width="14.42578125" bestFit="1" customWidth="1"/>
    <col min="164" max="164" width="12.28515625" bestFit="1" customWidth="1"/>
    <col min="165" max="165" width="12.42578125" bestFit="1" customWidth="1"/>
    <col min="166" max="166" width="13.7109375" bestFit="1" customWidth="1"/>
    <col min="167" max="167" width="11.5703125" bestFit="1" customWidth="1"/>
    <col min="168" max="168" width="12.140625" bestFit="1" customWidth="1"/>
    <col min="169" max="169" width="12.42578125" bestFit="1" customWidth="1"/>
    <col min="170" max="170" width="13" bestFit="1" customWidth="1"/>
    <col min="171" max="171" width="13.42578125" bestFit="1" customWidth="1"/>
    <col min="172" max="172" width="12.85546875" bestFit="1" customWidth="1"/>
    <col min="173" max="173" width="15.140625" bestFit="1" customWidth="1"/>
    <col min="174" max="174" width="12.7109375" bestFit="1" customWidth="1"/>
    <col min="175" max="175" width="12" bestFit="1" customWidth="1"/>
    <col min="176" max="176" width="13.85546875" bestFit="1" customWidth="1"/>
    <col min="177" max="177" width="13.7109375" bestFit="1" customWidth="1"/>
    <col min="178" max="178" width="12.5703125" bestFit="1" customWidth="1"/>
    <col min="179" max="179" width="13" bestFit="1" customWidth="1"/>
    <col min="180" max="180" width="13.28515625" bestFit="1" customWidth="1"/>
    <col min="181" max="181" width="12.85546875" bestFit="1" customWidth="1"/>
    <col min="182" max="182" width="12" bestFit="1" customWidth="1"/>
    <col min="183" max="183" width="12.28515625" bestFit="1" customWidth="1"/>
    <col min="184" max="184" width="14" bestFit="1" customWidth="1"/>
    <col min="185" max="185" width="12.85546875" bestFit="1" customWidth="1"/>
    <col min="186" max="186" width="13" bestFit="1" customWidth="1"/>
    <col min="187" max="187" width="14.28515625" bestFit="1" customWidth="1"/>
    <col min="188" max="188" width="13" bestFit="1" customWidth="1"/>
    <col min="189" max="190" width="12.5703125" bestFit="1" customWidth="1"/>
    <col min="191" max="191" width="13" bestFit="1" customWidth="1"/>
    <col min="192" max="192" width="13.5703125" bestFit="1" customWidth="1"/>
    <col min="193" max="193" width="12.7109375" bestFit="1" customWidth="1"/>
    <col min="194" max="194" width="12.140625" bestFit="1" customWidth="1"/>
    <col min="195" max="195" width="12.42578125" bestFit="1" customWidth="1"/>
    <col min="196" max="196" width="12.85546875" bestFit="1" customWidth="1"/>
    <col min="197" max="197" width="13.42578125" bestFit="1" customWidth="1"/>
    <col min="198" max="198" width="12.7109375" bestFit="1" customWidth="1"/>
    <col min="199" max="199" width="12.85546875" bestFit="1" customWidth="1"/>
    <col min="200" max="200" width="14.85546875" bestFit="1" customWidth="1"/>
    <col min="201" max="201" width="14.140625" bestFit="1" customWidth="1"/>
    <col min="202" max="202" width="15.7109375" bestFit="1" customWidth="1"/>
    <col min="203" max="203" width="13.28515625" bestFit="1" customWidth="1"/>
    <col min="204" max="204" width="13.85546875" bestFit="1" customWidth="1"/>
    <col min="205" max="205" width="14.42578125" bestFit="1" customWidth="1"/>
    <col min="206" max="206" width="14.85546875" bestFit="1" customWidth="1"/>
    <col min="207" max="207" width="20" bestFit="1" customWidth="1"/>
    <col min="208" max="208" width="17" bestFit="1" customWidth="1"/>
    <col min="209" max="209" width="10.140625" bestFit="1" customWidth="1"/>
    <col min="210" max="210" width="10" bestFit="1" customWidth="1"/>
    <col min="211" max="213" width="10.28515625" bestFit="1" customWidth="1"/>
    <col min="214" max="214" width="10.5703125" bestFit="1" customWidth="1"/>
    <col min="215" max="215" width="9.85546875" bestFit="1" customWidth="1"/>
    <col min="216" max="216" width="10.28515625" bestFit="1" customWidth="1"/>
    <col min="217" max="217" width="9.85546875" bestFit="1" customWidth="1"/>
    <col min="218" max="218" width="10.5703125" bestFit="1" customWidth="1"/>
    <col min="219" max="219" width="9.7109375" bestFit="1" customWidth="1"/>
    <col min="220" max="221" width="10" bestFit="1" customWidth="1"/>
    <col min="222" max="222" width="10.42578125" bestFit="1" customWidth="1"/>
    <col min="223" max="223" width="10.85546875" bestFit="1" customWidth="1"/>
    <col min="224" max="224" width="10" bestFit="1" customWidth="1"/>
    <col min="225" max="226" width="10.85546875" bestFit="1" customWidth="1"/>
    <col min="227" max="227" width="10" bestFit="1" customWidth="1"/>
    <col min="228" max="228" width="10.5703125" bestFit="1" customWidth="1"/>
    <col min="229" max="229" width="10.42578125" bestFit="1" customWidth="1"/>
    <col min="230" max="230" width="9.85546875" bestFit="1" customWidth="1"/>
    <col min="231" max="231" width="10" bestFit="1" customWidth="1"/>
    <col min="232" max="232" width="12.42578125" bestFit="1" customWidth="1"/>
    <col min="233" max="233" width="14.5703125" bestFit="1" customWidth="1"/>
    <col min="234" max="234" width="14.28515625" bestFit="1" customWidth="1"/>
    <col min="235" max="235" width="13.85546875" bestFit="1" customWidth="1"/>
    <col min="236" max="236" width="12" bestFit="1" customWidth="1"/>
    <col min="237" max="237" width="14.7109375" bestFit="1" customWidth="1"/>
    <col min="238" max="238" width="16.85546875" bestFit="1" customWidth="1"/>
    <col min="239" max="239" width="14.5703125" bestFit="1" customWidth="1"/>
    <col min="240" max="240" width="15" bestFit="1" customWidth="1"/>
    <col min="241" max="241" width="13.28515625" bestFit="1" customWidth="1"/>
    <col min="242" max="242" width="14.28515625" bestFit="1" customWidth="1"/>
    <col min="243" max="243" width="13.5703125" bestFit="1" customWidth="1"/>
    <col min="244" max="244" width="13.28515625" bestFit="1" customWidth="1"/>
    <col min="245" max="245" width="15.7109375" bestFit="1" customWidth="1"/>
    <col min="246" max="246" width="12.28515625" bestFit="1" customWidth="1"/>
    <col min="247" max="247" width="13.42578125" bestFit="1" customWidth="1"/>
    <col min="248" max="248" width="12.85546875" bestFit="1" customWidth="1"/>
    <col min="249" max="249" width="7.42578125" bestFit="1" customWidth="1"/>
    <col min="250" max="250" width="11.140625" bestFit="1" customWidth="1"/>
    <col min="251" max="252" width="17.140625" bestFit="1" customWidth="1"/>
    <col min="253" max="258" width="17.5703125" bestFit="1" customWidth="1"/>
    <col min="259" max="281" width="17.140625" bestFit="1" customWidth="1"/>
    <col min="282" max="282" width="18.42578125" bestFit="1" customWidth="1"/>
    <col min="283" max="284" width="18.140625" bestFit="1" customWidth="1"/>
    <col min="285" max="292" width="18.28515625" bestFit="1" customWidth="1"/>
    <col min="293" max="316" width="18.140625" bestFit="1" customWidth="1"/>
    <col min="317" max="318" width="16.5703125" bestFit="1" customWidth="1"/>
    <col min="319" max="319" width="17.85546875" bestFit="1" customWidth="1"/>
    <col min="320" max="321" width="17.42578125" bestFit="1" customWidth="1"/>
    <col min="323" max="323" width="15.42578125" bestFit="1" customWidth="1"/>
    <col min="324" max="324" width="15.5703125" bestFit="1" customWidth="1"/>
    <col min="325" max="325" width="15" bestFit="1" customWidth="1"/>
    <col min="326" max="331" width="18.28515625" bestFit="1" customWidth="1"/>
    <col min="332" max="332" width="14.5703125" bestFit="1" customWidth="1"/>
    <col min="333" max="333" width="15.28515625" bestFit="1" customWidth="1"/>
    <col min="334" max="334" width="12.7109375" bestFit="1" customWidth="1"/>
    <col min="335" max="335" width="12.140625" bestFit="1" customWidth="1"/>
    <col min="336" max="336" width="12" bestFit="1" customWidth="1"/>
    <col min="337" max="337" width="13.28515625" bestFit="1" customWidth="1"/>
    <col min="338" max="338" width="12.5703125" bestFit="1" customWidth="1"/>
    <col min="339" max="339" width="12.7109375" bestFit="1" customWidth="1"/>
    <col min="340" max="340" width="12.42578125" bestFit="1" customWidth="1"/>
    <col min="341" max="342" width="12.28515625" bestFit="1" customWidth="1"/>
    <col min="343" max="343" width="14.7109375" bestFit="1" customWidth="1"/>
    <col min="344" max="344" width="13.28515625" bestFit="1" customWidth="1"/>
    <col min="345" max="345" width="12" bestFit="1" customWidth="1"/>
    <col min="346" max="347" width="12.42578125" bestFit="1" customWidth="1"/>
    <col min="348" max="348" width="12.85546875" bestFit="1" customWidth="1"/>
    <col min="349" max="349" width="12.42578125" bestFit="1" customWidth="1"/>
    <col min="350" max="350" width="12.85546875" bestFit="1" customWidth="1"/>
    <col min="351" max="351" width="13.28515625" bestFit="1" customWidth="1"/>
    <col min="352" max="353" width="16.85546875" bestFit="1" customWidth="1"/>
    <col min="354" max="354" width="17" bestFit="1" customWidth="1"/>
    <col min="355" max="373" width="16.7109375" bestFit="1" customWidth="1"/>
    <col min="374" max="374" width="15.7109375" bestFit="1" customWidth="1"/>
    <col min="375" max="375" width="12.140625" bestFit="1" customWidth="1"/>
    <col min="376" max="376" width="13.7109375" bestFit="1" customWidth="1"/>
    <col min="377" max="377" width="13.28515625" bestFit="1" customWidth="1"/>
    <col min="378" max="378" width="12.42578125" bestFit="1" customWidth="1"/>
    <col min="379" max="379" width="13.28515625" bestFit="1" customWidth="1"/>
    <col min="380" max="380" width="12.85546875" bestFit="1" customWidth="1"/>
    <col min="381" max="381" width="13.85546875" bestFit="1" customWidth="1"/>
    <col min="382" max="382" width="12.5703125" bestFit="1" customWidth="1"/>
    <col min="383" max="383" width="14.7109375" bestFit="1" customWidth="1"/>
    <col min="384" max="384" width="13.42578125" bestFit="1" customWidth="1"/>
    <col min="385" max="385" width="14.85546875" bestFit="1" customWidth="1"/>
    <col min="386" max="387" width="10.5703125" bestFit="1" customWidth="1"/>
    <col min="388" max="388" width="10.28515625" bestFit="1" customWidth="1"/>
    <col min="389" max="389" width="13.5703125" bestFit="1" customWidth="1"/>
    <col min="390" max="390" width="12.7109375" bestFit="1" customWidth="1"/>
    <col min="391" max="391" width="13" bestFit="1" customWidth="1"/>
    <col min="392" max="392" width="12.5703125" bestFit="1" customWidth="1"/>
    <col min="393" max="393" width="13.5703125" bestFit="1" customWidth="1"/>
    <col min="394" max="394" width="12.85546875" bestFit="1" customWidth="1"/>
    <col min="395" max="395" width="11.85546875" bestFit="1" customWidth="1"/>
    <col min="396" max="396" width="12.85546875" bestFit="1" customWidth="1"/>
    <col min="397" max="397" width="14.85546875" bestFit="1" customWidth="1"/>
    <col min="398" max="398" width="12.85546875" bestFit="1" customWidth="1"/>
    <col min="399" max="399" width="13.5703125" bestFit="1" customWidth="1"/>
    <col min="400" max="400" width="12.42578125" bestFit="1" customWidth="1"/>
    <col min="401" max="401" width="12.7109375" bestFit="1" customWidth="1"/>
    <col min="402" max="403" width="13" bestFit="1" customWidth="1"/>
    <col min="404" max="404" width="13.7109375" bestFit="1" customWidth="1"/>
    <col min="405" max="405" width="14.140625" bestFit="1" customWidth="1"/>
    <col min="406" max="406" width="14.85546875" bestFit="1" customWidth="1"/>
    <col min="407" max="407" width="12.85546875" bestFit="1" customWidth="1"/>
    <col min="408" max="408" width="14.140625" bestFit="1" customWidth="1"/>
    <col min="409" max="409" width="13.7109375" bestFit="1" customWidth="1"/>
    <col min="410" max="410" width="13.28515625" bestFit="1" customWidth="1"/>
    <col min="411" max="411" width="14.7109375" bestFit="1" customWidth="1"/>
    <col min="412" max="412" width="13.85546875" bestFit="1" customWidth="1"/>
    <col min="413" max="413" width="13.7109375" bestFit="1" customWidth="1"/>
    <col min="414" max="414" width="13.42578125" bestFit="1" customWidth="1"/>
    <col min="415" max="415" width="13" bestFit="1" customWidth="1"/>
    <col min="416" max="416" width="12.42578125" bestFit="1" customWidth="1"/>
    <col min="417" max="417" width="12" bestFit="1" customWidth="1"/>
    <col min="418" max="418" width="12.42578125" bestFit="1" customWidth="1"/>
    <col min="419" max="419" width="12.5703125" bestFit="1" customWidth="1"/>
    <col min="420" max="420" width="13" bestFit="1" customWidth="1"/>
    <col min="421" max="421" width="12.7109375" bestFit="1" customWidth="1"/>
    <col min="422" max="422" width="14" bestFit="1" customWidth="1"/>
    <col min="423" max="423" width="12.140625" bestFit="1" customWidth="1"/>
    <col min="424" max="424" width="13.42578125" bestFit="1" customWidth="1"/>
    <col min="425" max="425" width="13.85546875" bestFit="1" customWidth="1"/>
    <col min="426" max="426" width="12.42578125" bestFit="1" customWidth="1"/>
    <col min="427" max="427" width="13" bestFit="1" customWidth="1"/>
    <col min="428" max="428" width="12.85546875" bestFit="1" customWidth="1"/>
    <col min="429" max="429" width="12.7109375" bestFit="1" customWidth="1"/>
    <col min="430" max="430" width="15.28515625" bestFit="1" customWidth="1"/>
    <col min="431" max="431" width="14.42578125" bestFit="1" customWidth="1"/>
    <col min="432" max="432" width="12.140625" bestFit="1" customWidth="1"/>
    <col min="433" max="433" width="15.42578125" bestFit="1" customWidth="1"/>
    <col min="434" max="434" width="14.28515625" bestFit="1" customWidth="1"/>
    <col min="435" max="435" width="12.140625" bestFit="1" customWidth="1"/>
    <col min="436" max="436" width="12.7109375" bestFit="1" customWidth="1"/>
    <col min="437" max="437" width="14.28515625" bestFit="1" customWidth="1"/>
    <col min="438" max="438" width="13.5703125" bestFit="1" customWidth="1"/>
    <col min="439" max="439" width="12.5703125" bestFit="1" customWidth="1"/>
    <col min="440" max="440" width="13.85546875" bestFit="1" customWidth="1"/>
    <col min="441" max="442" width="13.28515625" bestFit="1" customWidth="1"/>
    <col min="443" max="443" width="13.42578125" bestFit="1" customWidth="1"/>
    <col min="444" max="444" width="14.140625" bestFit="1" customWidth="1"/>
    <col min="445" max="445" width="13.7109375" bestFit="1" customWidth="1"/>
    <col min="446" max="446" width="14.28515625" bestFit="1" customWidth="1"/>
    <col min="447" max="447" width="13" bestFit="1" customWidth="1"/>
    <col min="448" max="448" width="15.42578125" bestFit="1" customWidth="1"/>
    <col min="449" max="449" width="17.7109375" bestFit="1" customWidth="1"/>
    <col min="450" max="450" width="13" bestFit="1" customWidth="1"/>
    <col min="451" max="451" width="10" bestFit="1" customWidth="1"/>
    <col min="452" max="452" width="10.140625" bestFit="1" customWidth="1"/>
    <col min="453" max="453" width="10.5703125" bestFit="1" customWidth="1"/>
    <col min="454" max="454" width="10.28515625" bestFit="1" customWidth="1"/>
    <col min="455" max="455" width="10.140625" bestFit="1" customWidth="1"/>
    <col min="456" max="456" width="9.85546875" bestFit="1" customWidth="1"/>
    <col min="457" max="457" width="10" bestFit="1" customWidth="1"/>
    <col min="458" max="458" width="11" bestFit="1" customWidth="1"/>
    <col min="459" max="459" width="10.140625" bestFit="1" customWidth="1"/>
    <col min="460" max="460" width="10" bestFit="1" customWidth="1"/>
    <col min="461" max="461" width="9.7109375" bestFit="1" customWidth="1"/>
    <col min="462" max="462" width="13" bestFit="1" customWidth="1"/>
    <col min="463" max="463" width="14.7109375" bestFit="1" customWidth="1"/>
    <col min="464" max="464" width="16.28515625" bestFit="1" customWidth="1"/>
    <col min="465" max="465" width="13.5703125" bestFit="1" customWidth="1"/>
    <col min="466" max="467" width="15.7109375" bestFit="1" customWidth="1"/>
    <col min="468" max="468" width="14.28515625" bestFit="1" customWidth="1"/>
    <col min="469" max="469" width="12.85546875" bestFit="1" customWidth="1"/>
    <col min="470" max="471" width="13.28515625" bestFit="1" customWidth="1"/>
    <col min="472" max="472" width="7.42578125" bestFit="1" customWidth="1"/>
    <col min="473" max="473" width="12.42578125" bestFit="1" customWidth="1"/>
    <col min="474" max="474" width="11.7109375" bestFit="1" customWidth="1"/>
  </cols>
  <sheetData>
    <row r="3" spans="1:2">
      <c r="A3" s="56" t="s">
        <v>771</v>
      </c>
      <c r="B3" t="s">
        <v>1655</v>
      </c>
    </row>
    <row r="4" spans="1:2">
      <c r="A4" t="s">
        <v>15</v>
      </c>
      <c r="B4">
        <v>16</v>
      </c>
    </row>
    <row r="5" spans="1:2">
      <c r="A5" t="s">
        <v>317</v>
      </c>
      <c r="B5">
        <v>149</v>
      </c>
    </row>
    <row r="6" spans="1:2">
      <c r="A6" t="s">
        <v>630</v>
      </c>
      <c r="B6">
        <v>101</v>
      </c>
    </row>
    <row r="7" spans="1:2">
      <c r="A7" t="s">
        <v>1656</v>
      </c>
      <c r="B7">
        <v>266</v>
      </c>
    </row>
    <row r="11" spans="1:2">
      <c r="A11" s="56" t="s">
        <v>771</v>
      </c>
      <c r="B11" t="s">
        <v>1655</v>
      </c>
    </row>
    <row r="12" spans="1:2">
      <c r="A12" t="s">
        <v>317</v>
      </c>
      <c r="B12">
        <v>149</v>
      </c>
    </row>
    <row r="13" spans="1:2">
      <c r="A13" t="s">
        <v>1656</v>
      </c>
      <c r="B13">
        <v>149</v>
      </c>
    </row>
    <row r="17" spans="1:2">
      <c r="A17" s="64"/>
      <c r="B17" s="61"/>
    </row>
    <row r="18" spans="1:2">
      <c r="A18" s="58"/>
      <c r="B18" s="59"/>
    </row>
    <row r="19" spans="1:2">
      <c r="A19" s="58"/>
      <c r="B19" s="59"/>
    </row>
    <row r="20" spans="1:2">
      <c r="A20" s="58"/>
      <c r="B20" s="59"/>
    </row>
    <row r="21" spans="1:2">
      <c r="A21" s="60"/>
      <c r="B21" s="59"/>
    </row>
    <row r="22" spans="1:2">
      <c r="A22" s="63"/>
      <c r="B22" s="62"/>
    </row>
    <row r="23" spans="1:2">
      <c r="A23" s="58"/>
      <c r="B23" s="59"/>
    </row>
    <row r="24" spans="1:2">
      <c r="A24" s="58"/>
      <c r="B24" s="59"/>
    </row>
    <row r="25" spans="1:2">
      <c r="A25" s="58"/>
      <c r="B25" s="59"/>
    </row>
    <row r="26" spans="1:2">
      <c r="A26" s="67"/>
      <c r="B26" s="68"/>
    </row>
    <row r="27" spans="1:2">
      <c r="A27" s="64"/>
      <c r="B27" s="64"/>
    </row>
    <row r="28" spans="1:2">
      <c r="A28" s="65"/>
      <c r="B28" s="65"/>
    </row>
    <row r="29" spans="1:2">
      <c r="A29" s="65"/>
      <c r="B29" s="65"/>
    </row>
    <row r="30" spans="1:2">
      <c r="A30" s="65"/>
      <c r="B30" s="65"/>
    </row>
    <row r="31" spans="1:2">
      <c r="A31" s="66"/>
      <c r="B31" s="6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063E1-304F-4EBA-A00E-5FAA1AA9AE20}">
  <dimension ref="A3:E44"/>
  <sheetViews>
    <sheetView topLeftCell="A7" workbookViewId="0">
      <selection activeCell="G20" sqref="G20"/>
    </sheetView>
  </sheetViews>
  <sheetFormatPr defaultRowHeight="15"/>
  <cols>
    <col min="1" max="1" width="26.140625" customWidth="1"/>
    <col min="2" max="2" width="20.42578125" bestFit="1" customWidth="1"/>
    <col min="3" max="3" width="28.85546875" bestFit="1" customWidth="1"/>
    <col min="4" max="4" width="20.5703125" bestFit="1" customWidth="1"/>
  </cols>
  <sheetData>
    <row r="3" spans="1:2">
      <c r="A3" s="56" t="s">
        <v>771</v>
      </c>
      <c r="B3" t="s">
        <v>1657</v>
      </c>
    </row>
    <row r="4" spans="1:2">
      <c r="A4" t="s">
        <v>15</v>
      </c>
      <c r="B4">
        <v>1</v>
      </c>
    </row>
    <row r="5" spans="1:2">
      <c r="A5" t="s">
        <v>32</v>
      </c>
    </row>
    <row r="6" spans="1:2">
      <c r="A6" t="s">
        <v>317</v>
      </c>
      <c r="B6">
        <v>122</v>
      </c>
    </row>
    <row r="7" spans="1:2">
      <c r="A7" t="s">
        <v>630</v>
      </c>
      <c r="B7">
        <v>84</v>
      </c>
    </row>
    <row r="8" spans="1:2">
      <c r="A8" t="s">
        <v>761</v>
      </c>
    </row>
    <row r="9" spans="1:2">
      <c r="A9" t="s">
        <v>1658</v>
      </c>
    </row>
    <row r="10" spans="1:2">
      <c r="A10" t="s">
        <v>1656</v>
      </c>
      <c r="B10">
        <v>207</v>
      </c>
    </row>
    <row r="15" spans="1:2">
      <c r="A15" s="64" t="s">
        <v>1659</v>
      </c>
      <c r="B15" s="61" t="s">
        <v>1660</v>
      </c>
    </row>
    <row r="16" spans="1:2">
      <c r="A16" s="58" t="s">
        <v>1661</v>
      </c>
      <c r="B16" s="59">
        <v>287</v>
      </c>
    </row>
    <row r="17" spans="1:3">
      <c r="A17" s="58" t="s">
        <v>1662</v>
      </c>
      <c r="B17" s="59">
        <v>122</v>
      </c>
    </row>
    <row r="18" spans="1:3">
      <c r="A18" s="58" t="s">
        <v>1663</v>
      </c>
      <c r="B18" s="59">
        <f>SUM(B16-B17)</f>
        <v>165</v>
      </c>
    </row>
    <row r="19" spans="1:3">
      <c r="A19" s="69"/>
      <c r="B19" s="68"/>
    </row>
    <row r="20" spans="1:3">
      <c r="A20" s="64" t="s">
        <v>1664</v>
      </c>
      <c r="B20" s="64" t="s">
        <v>1660</v>
      </c>
    </row>
    <row r="21" spans="1:3">
      <c r="A21" s="65" t="s">
        <v>1661</v>
      </c>
      <c r="B21" s="65">
        <v>287</v>
      </c>
    </row>
    <row r="22" spans="1:3">
      <c r="A22" s="65" t="s">
        <v>1662</v>
      </c>
      <c r="B22" s="65">
        <v>122</v>
      </c>
    </row>
    <row r="23" spans="1:3">
      <c r="A23" s="65" t="s">
        <v>1665</v>
      </c>
      <c r="B23" s="65">
        <v>3</v>
      </c>
    </row>
    <row r="24" spans="1:3">
      <c r="A24" s="65" t="s">
        <v>1663</v>
      </c>
      <c r="B24" s="65">
        <v>162</v>
      </c>
    </row>
    <row r="25" spans="1:3">
      <c r="A25" s="64" t="s">
        <v>1666</v>
      </c>
      <c r="B25" s="64" t="s">
        <v>1660</v>
      </c>
    </row>
    <row r="26" spans="1:3">
      <c r="A26" s="65" t="s">
        <v>1667</v>
      </c>
      <c r="B26" s="65">
        <v>56083872</v>
      </c>
    </row>
    <row r="27" spans="1:3">
      <c r="A27" s="65" t="s">
        <v>1665</v>
      </c>
      <c r="B27" s="65">
        <v>540000</v>
      </c>
    </row>
    <row r="28" spans="1:3">
      <c r="A28" s="65" t="s">
        <v>1668</v>
      </c>
      <c r="B28" s="65">
        <v>36075000</v>
      </c>
      <c r="C28" t="s">
        <v>1669</v>
      </c>
    </row>
    <row r="29" spans="1:3">
      <c r="A29" s="66" t="s">
        <v>1663</v>
      </c>
      <c r="B29" s="66">
        <v>19468872</v>
      </c>
    </row>
    <row r="34" spans="1:5">
      <c r="B34">
        <f>SUM(B27,B28)</f>
        <v>36615000</v>
      </c>
    </row>
    <row r="35" spans="1:5">
      <c r="B35" t="s">
        <v>1670</v>
      </c>
    </row>
    <row r="41" spans="1:5" ht="15.75">
      <c r="A41" s="70" t="s">
        <v>1671</v>
      </c>
      <c r="B41" s="70" t="s">
        <v>1672</v>
      </c>
      <c r="C41" s="70" t="s">
        <v>1673</v>
      </c>
      <c r="D41" s="70" t="s">
        <v>1674</v>
      </c>
      <c r="E41" s="70" t="s">
        <v>1675</v>
      </c>
    </row>
    <row r="42" spans="1:5" ht="15.75">
      <c r="A42" s="71" t="s">
        <v>1676</v>
      </c>
      <c r="B42" s="71">
        <v>287</v>
      </c>
      <c r="C42" s="72">
        <v>3</v>
      </c>
      <c r="D42" s="72">
        <v>122</v>
      </c>
      <c r="E42" s="72">
        <v>162</v>
      </c>
    </row>
    <row r="43" spans="1:5" ht="30.75">
      <c r="A43" s="71" t="s">
        <v>1677</v>
      </c>
      <c r="B43" s="72">
        <v>195</v>
      </c>
      <c r="C43" s="72" t="s">
        <v>1678</v>
      </c>
      <c r="D43" s="72">
        <v>122</v>
      </c>
      <c r="E43" s="72" t="s">
        <v>1679</v>
      </c>
    </row>
    <row r="44" spans="1:5" ht="30.75">
      <c r="A44" s="71" t="s">
        <v>1680</v>
      </c>
      <c r="B44" s="72">
        <v>4</v>
      </c>
      <c r="C44" s="72" t="s">
        <v>1679</v>
      </c>
      <c r="D44" s="72" t="s">
        <v>1679</v>
      </c>
      <c r="E44" s="72" t="s">
        <v>1679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0d611-a80b-497e-a949-69338db8dd6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53DE556824204E8FD99C4CB6FE7231" ma:contentTypeVersion="10" ma:contentTypeDescription="Create a new document." ma:contentTypeScope="" ma:versionID="68b57d821e917f874c3dfa2fa6f5d7d7">
  <xsd:schema xmlns:xsd="http://www.w3.org/2001/XMLSchema" xmlns:xs="http://www.w3.org/2001/XMLSchema" xmlns:p="http://schemas.microsoft.com/office/2006/metadata/properties" xmlns:ns2="5de0d611-a80b-497e-a949-69338db8dd68" targetNamespace="http://schemas.microsoft.com/office/2006/metadata/properties" ma:root="true" ma:fieldsID="d79d63d8cd0b1ccdd8cb32517fb47005" ns2:_="">
    <xsd:import namespace="5de0d611-a80b-497e-a949-69338db8dd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0d611-a80b-497e-a949-69338db8dd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94a1fef-0e05-415e-996d-23764b90a9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937EAC-39ED-47D5-BAEC-A463F0B7BF51}"/>
</file>

<file path=customXml/itemProps2.xml><?xml version="1.0" encoding="utf-8"?>
<ds:datastoreItem xmlns:ds="http://schemas.openxmlformats.org/officeDocument/2006/customXml" ds:itemID="{438AF741-3680-474B-B832-BED17570EF0A}"/>
</file>

<file path=customXml/itemProps3.xml><?xml version="1.0" encoding="utf-8"?>
<ds:datastoreItem xmlns:ds="http://schemas.openxmlformats.org/officeDocument/2006/customXml" ds:itemID="{0D159713-AD32-436E-940E-6C76EEC0E3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2026-03-14T10:29:18Z</dcterms:created>
  <dcterms:modified xsi:type="dcterms:W3CDTF">2026-04-03T14:26:30Z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0x0101000553DE556824204E8FD99C4CB6FE7231</vt:lpwstr>
  </property>
  <property fmtid="{D5CDD505-2E9C-101B-9397-08002B2CF9AE}" pid="3" name="MediaServiceImageTags">
    <vt:lpwstr/>
  </property>
</Properties>
</file>